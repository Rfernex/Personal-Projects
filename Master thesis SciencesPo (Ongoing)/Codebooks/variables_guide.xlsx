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fernex/Documents/Education/SciencesPo/Courses/M2/Master thesis/codebook help/"/>
    </mc:Choice>
  </mc:AlternateContent>
  <xr:revisionPtr revIDLastSave="0" documentId="13_ncr:1_{903E61A5-9C2D-2849-8381-77037DB9C2E1}" xr6:coauthVersionLast="47" xr6:coauthVersionMax="47" xr10:uidLastSave="{00000000-0000-0000-0000-000000000000}"/>
  <bookViews>
    <workbookView xWindow="840" yWindow="760" windowWidth="18480" windowHeight="17780" xr2:uid="{4ECA795E-12EF-E14F-BE16-0A212144E6A0}"/>
  </bookViews>
  <sheets>
    <sheet name="check sheet" sheetId="8" r:id="rId1"/>
    <sheet name="Codebook 2021 - IND" sheetId="6" r:id="rId2"/>
    <sheet name="Codebook 2020 - IND" sheetId="1" r:id="rId3"/>
    <sheet name="Codebook 2020 - DET" sheetId="2" state="hidden" r:id="rId4"/>
    <sheet name="Codebook 2013 - IND" sheetId="4" r:id="rId5"/>
    <sheet name="Codebook 2007 - IND" sheetId="5" r:id="rId6"/>
    <sheet name="Cross-year" sheetId="7" r:id="rId7"/>
    <sheet name="Sheet1" sheetId="9" r:id="rId8"/>
    <sheet name="Lists" sheetId="3" state="hidden" r:id="rId9"/>
  </sheets>
  <definedNames>
    <definedName name="_xlnm._FilterDatabase" localSheetId="0" hidden="1">'check sheet'!$B$1:$B$58</definedName>
    <definedName name="_xlnm._FilterDatabase" localSheetId="6" hidden="1">'Cross-year'!$A$4:$V$46</definedName>
    <definedName name="_xlnm._FilterDatabase" localSheetId="8" hidden="1">Lists!$B$4:$B$30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8" l="1"/>
  <c r="B17" i="8"/>
  <c r="B32" i="8"/>
  <c r="B20" i="8"/>
  <c r="B28" i="8"/>
  <c r="B7" i="8"/>
  <c r="B8" i="8"/>
  <c r="B9" i="8"/>
  <c r="B58" i="8"/>
  <c r="B57" i="8"/>
  <c r="B56" i="8"/>
  <c r="B55" i="8"/>
  <c r="B54" i="8"/>
  <c r="G14" i="9"/>
  <c r="G12" i="9"/>
  <c r="G6" i="9"/>
  <c r="G7" i="9"/>
  <c r="G8" i="9"/>
  <c r="G9" i="9"/>
  <c r="G10" i="9"/>
  <c r="G5" i="9"/>
  <c r="F3" i="9"/>
  <c r="F2" i="9"/>
  <c r="B53" i="8"/>
  <c r="B52" i="8"/>
  <c r="B49" i="8"/>
  <c r="B50" i="8"/>
  <c r="B51" i="8"/>
  <c r="B22" i="8"/>
  <c r="B45" i="8"/>
  <c r="B40" i="8"/>
  <c r="B25" i="8"/>
  <c r="B27" i="8"/>
  <c r="B31" i="8"/>
  <c r="B37" i="8"/>
  <c r="B15" i="8"/>
  <c r="B16" i="8"/>
  <c r="B12" i="8"/>
  <c r="B13" i="8"/>
  <c r="B42" i="8"/>
  <c r="B43" i="8"/>
  <c r="B44" i="8"/>
  <c r="B3" i="8"/>
  <c r="B4" i="8"/>
  <c r="B5" i="8"/>
  <c r="B6" i="8"/>
  <c r="B10" i="8"/>
  <c r="B11" i="8"/>
  <c r="B18" i="8"/>
  <c r="B19" i="8"/>
  <c r="B21" i="8"/>
  <c r="B23" i="8"/>
  <c r="B24" i="8"/>
  <c r="B26" i="8"/>
  <c r="B29" i="8"/>
  <c r="B30" i="8"/>
  <c r="B33" i="8"/>
  <c r="B34" i="8"/>
  <c r="B35" i="8"/>
  <c r="B36" i="8"/>
  <c r="B38" i="8"/>
  <c r="B39" i="8"/>
  <c r="B41" i="8"/>
  <c r="B46" i="8"/>
  <c r="B47" i="8"/>
  <c r="B48" i="8"/>
  <c r="B2" i="8"/>
  <c r="Y7" i="7"/>
  <c r="Y6" i="7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8" i="5"/>
  <c r="B2" i="5"/>
  <c r="B3" i="5"/>
  <c r="B4" i="5"/>
  <c r="B5" i="5"/>
  <c r="B6" i="5"/>
  <c r="B7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</calcChain>
</file>

<file path=xl/sharedStrings.xml><?xml version="1.0" encoding="utf-8"?>
<sst xmlns="http://schemas.openxmlformats.org/spreadsheetml/2006/main" count="1275" uniqueCount="540">
  <si>
    <t>Question Code</t>
  </si>
  <si>
    <t>Field</t>
  </si>
  <si>
    <t>SEXE</t>
  </si>
  <si>
    <t>Comment</t>
  </si>
  <si>
    <t>&lt;75yo</t>
  </si>
  <si>
    <t>TRAREF</t>
  </si>
  <si>
    <t>Description</t>
  </si>
  <si>
    <t>at least one day of paid work in the reference week</t>
  </si>
  <si>
    <t xml:space="preserve">Employed </t>
  </si>
  <si>
    <t xml:space="preserve">PASTRA </t>
  </si>
  <si>
    <t>for those negative in TRAREF</t>
  </si>
  <si>
    <t>SOUB</t>
  </si>
  <si>
    <t>wish to have additional employment</t>
  </si>
  <si>
    <t>detect wish to be pluriactive</t>
  </si>
  <si>
    <t>filtering sur PASTRB and RABS (indicates forthcoming employment)</t>
  </si>
  <si>
    <t>filter on SOUB = 1, SOUA = 2 to avoid confusing those who wish for another job as a replacement for an existing one</t>
  </si>
  <si>
    <t>CREACC</t>
  </si>
  <si>
    <t>reason for seeking additional employment</t>
  </si>
  <si>
    <t>understand motivations behind pluriactivity</t>
  </si>
  <si>
    <t>CREACCP</t>
  </si>
  <si>
    <t>as above with focus on most important reason</t>
  </si>
  <si>
    <t>STCHE</t>
  </si>
  <si>
    <t>type of employment sought (for those seeking employment)</t>
  </si>
  <si>
    <t>understand type of pluriactivity sought</t>
  </si>
  <si>
    <t>NREC</t>
  </si>
  <si>
    <t>HREC</t>
  </si>
  <si>
    <t>number of hours sought for new job</t>
  </si>
  <si>
    <t>salaried employment only ! Can use NRECA and NRECB to get clearer estimates of flexibility in employment sought</t>
  </si>
  <si>
    <t>PLRACT</t>
  </si>
  <si>
    <t xml:space="preserve">are you pluriactive </t>
  </si>
  <si>
    <t>Gender</t>
  </si>
  <si>
    <t>which gender are you</t>
  </si>
  <si>
    <t>confusion for "pluriprofessionnel avec un seul employeur" which may answer negatively</t>
  </si>
  <si>
    <t>UNEPROF</t>
  </si>
  <si>
    <t>do you have more than one job</t>
  </si>
  <si>
    <t>might be more straightforward then PLRACT (match with PLURACT)</t>
  </si>
  <si>
    <t>STC</t>
  </si>
  <si>
    <t>main occupation type (salaried, non salaried…)</t>
  </si>
  <si>
    <t>main job type : general</t>
  </si>
  <si>
    <t>main job type : salaried | non salaried</t>
  </si>
  <si>
    <t>filter on PLURACT and inform (does not take into account undeclared professional activities)</t>
  </si>
  <si>
    <t>AUTOENT</t>
  </si>
  <si>
    <t>are you an autoentrepreneur</t>
  </si>
  <si>
    <t>identify auto-entrepreneurship</t>
  </si>
  <si>
    <t>filtering based on TAM1B (does not work for a company), employers</t>
  </si>
  <si>
    <t>filter STC = 3 or INFORM = 1 with PLRACT ≠ 2</t>
  </si>
  <si>
    <t>identify pluriemployer</t>
  </si>
  <si>
    <t>do you have multiple employer for your current job</t>
  </si>
  <si>
    <t>AM1B</t>
  </si>
  <si>
    <t>counted as 3 for any number above 3 or equal to 3</t>
  </si>
  <si>
    <t>private sector employee ONLY (filter CHPUB)</t>
  </si>
  <si>
    <t>nature of employer (private firm, hospital..)</t>
  </si>
  <si>
    <t xml:space="preserve">are you still pluriactive ? </t>
  </si>
  <si>
    <t xml:space="preserve">if only had one job in last survey, do you have more than one now? </t>
  </si>
  <si>
    <t>detect entry into pluriactivity</t>
  </si>
  <si>
    <t>detect exit from pluriactivity</t>
  </si>
  <si>
    <t>filter on APOBAR = 1 (kept same profession as in the last survey), V1UNEPROF = 2</t>
  </si>
  <si>
    <t>filter on APOBAR = 1 (kept same profession as in the last survey), V1UNEPROF = 1</t>
  </si>
  <si>
    <t>number of other jobs</t>
  </si>
  <si>
    <t>detect and qualify pluriactivity</t>
  </si>
  <si>
    <t>filtered on UNEPROF = 2</t>
  </si>
  <si>
    <t>secondary job type : general</t>
  </si>
  <si>
    <t>secondary job type : salaried | non salaried</t>
  </si>
  <si>
    <t>QPRCR</t>
  </si>
  <si>
    <t>CHPUBx</t>
  </si>
  <si>
    <t>x is for job number (secondary, tertiary..) ; filtered on employees with more than one employer (one of them the main one), filtered on INFORM = 1</t>
  </si>
  <si>
    <t>CONFAUTSAL</t>
  </si>
  <si>
    <t>AUTSAL</t>
  </si>
  <si>
    <t>AM2NB</t>
  </si>
  <si>
    <t>autoentrepreneur on second/third… job ?</t>
  </si>
  <si>
    <t>CONTRA</t>
  </si>
  <si>
    <t>type of work contract for salaried (main job)</t>
  </si>
  <si>
    <t>filter on CHPUB, good to perform disambiguation for "CDI" using STJC</t>
  </si>
  <si>
    <t>REINT</t>
  </si>
  <si>
    <t>reinterrogation</t>
  </si>
  <si>
    <t>APOBAR</t>
  </si>
  <si>
    <t>changed employment status between rounds</t>
  </si>
  <si>
    <t xml:space="preserve">reintorregated respondent </t>
  </si>
  <si>
    <t>status change</t>
  </si>
  <si>
    <t>TO CHECK</t>
  </si>
  <si>
    <t xml:space="preserve">filtering on APOBAR </t>
  </si>
  <si>
    <t>TPP</t>
  </si>
  <si>
    <t>changed from part time to full time (and reverse)</t>
  </si>
  <si>
    <t>main job type : part | full-time</t>
  </si>
  <si>
    <t xml:space="preserve">current main job employment type </t>
  </si>
  <si>
    <t>part time level on main job</t>
  </si>
  <si>
    <t>TXTPP</t>
  </si>
  <si>
    <t>hours worked (current - main)</t>
  </si>
  <si>
    <t>why work part time</t>
  </si>
  <si>
    <t>RAISTP</t>
  </si>
  <si>
    <t xml:space="preserve">can be complemented with RAISTF for additional info on motive </t>
  </si>
  <si>
    <t>HHC</t>
  </si>
  <si>
    <t>salaried workers (STCR = 3)</t>
  </si>
  <si>
    <t>HHCHSUP</t>
  </si>
  <si>
    <t>hours worked count</t>
  </si>
  <si>
    <t>additional work hours count</t>
  </si>
  <si>
    <t>NBTOT</t>
  </si>
  <si>
    <t>hours worked count (across all jobs)</t>
  </si>
  <si>
    <t>hours worked (current - ALL)</t>
  </si>
  <si>
    <t>filtered on NBTEMPR and UNEPROF to measure hours worked for pluriactive</t>
  </si>
  <si>
    <t>STPLC</t>
  </si>
  <si>
    <t>wish to work more hours</t>
  </si>
  <si>
    <t>DISPPLC</t>
  </si>
  <si>
    <t>detect and qualify subemployment (hours)</t>
  </si>
  <si>
    <t>why do you wish to do more hours</t>
  </si>
  <si>
    <t>CSTPLC</t>
  </si>
  <si>
    <t>how do you intend to do these additional hours</t>
  </si>
  <si>
    <t>for those who want to work more but CAN (filter on DISPPLC)</t>
  </si>
  <si>
    <t>for those who want to work more but CANNOT (filter on DISPPLC)</t>
  </si>
  <si>
    <t>disambiguation to be done on three criteria : check DISPPLC = 1 ; ??</t>
  </si>
  <si>
    <t>can track hours worked at each job on reference week</t>
  </si>
  <si>
    <t>highest degree obtained</t>
  </si>
  <si>
    <t>Education</t>
  </si>
  <si>
    <t>father and mother place of birth</t>
  </si>
  <si>
    <t>FSTC</t>
  </si>
  <si>
    <t>socio-econ background</t>
  </si>
  <si>
    <t>father and mother type of employment</t>
  </si>
  <si>
    <t>FQPRCR</t>
  </si>
  <si>
    <t>part vs full, salaried…</t>
  </si>
  <si>
    <t xml:space="preserve">type of position </t>
  </si>
  <si>
    <t>NAIP(M)ER</t>
  </si>
  <si>
    <t>PAIP(M)ER for added precision</t>
  </si>
  <si>
    <t>Use</t>
  </si>
  <si>
    <t>ACTEU</t>
  </si>
  <si>
    <t>employment status</t>
  </si>
  <si>
    <t>Employment</t>
  </si>
  <si>
    <t>AGE</t>
  </si>
  <si>
    <t>AGE3-AGE5</t>
  </si>
  <si>
    <t>difference AGE3/5 ?</t>
  </si>
  <si>
    <t>CHPUB</t>
  </si>
  <si>
    <t>employer type</t>
  </si>
  <si>
    <t>Validity</t>
  </si>
  <si>
    <t>ante-2013</t>
  </si>
  <si>
    <t>reason for searching another job</t>
  </si>
  <si>
    <t>post-2013</t>
  </si>
  <si>
    <t>replacement for CREACC in 2013 (much broader scope now)</t>
  </si>
  <si>
    <t>NA</t>
  </si>
  <si>
    <t>socio-professional category</t>
  </si>
  <si>
    <t>CSE</t>
  </si>
  <si>
    <t>active people only (includes long time unemployed (code 81)</t>
  </si>
  <si>
    <t>DIP11</t>
  </si>
  <si>
    <t>highest diploma obtained</t>
  </si>
  <si>
    <t xml:space="preserve">available to work more ? </t>
  </si>
  <si>
    <t>criteria for subemployment</t>
  </si>
  <si>
    <t>DUHAB</t>
  </si>
  <si>
    <t>nb of hours for main job (cat)</t>
  </si>
  <si>
    <t>nb of hours for main job (abs)</t>
  </si>
  <si>
    <t>HHC6</t>
  </si>
  <si>
    <t>HHCE</t>
  </si>
  <si>
    <t>slight change in 2013 compared to before in hours reported ; cutoff at 60</t>
  </si>
  <si>
    <t>HPLUSA</t>
  </si>
  <si>
    <t>nb of hours sought (if want to do more or less)</t>
  </si>
  <si>
    <t>change 2013 increases nb of people concerned</t>
  </si>
  <si>
    <t>NAFG004UN</t>
  </si>
  <si>
    <t>sector of employment (main)</t>
  </si>
  <si>
    <t>filter on tertiary, can get additional precision on NAFG038UN</t>
  </si>
  <si>
    <t>NBTOTE</t>
  </si>
  <si>
    <t xml:space="preserve">nb of hours worked total </t>
  </si>
  <si>
    <t>on reference week (slight change in 2013)</t>
  </si>
  <si>
    <t>on reference week</t>
  </si>
  <si>
    <t>nature of work sought (part/full)</t>
  </si>
  <si>
    <t>from 2013, can qualify it with NRECA and NRECB to evaluate pref strength</t>
  </si>
  <si>
    <t>PUB3FP</t>
  </si>
  <si>
    <t>status of employer (private, public..)</t>
  </si>
  <si>
    <t>modified in 2015 (based on professional activity)</t>
  </si>
  <si>
    <t>QPRC</t>
  </si>
  <si>
    <t>position in main job</t>
  </si>
  <si>
    <t>cat 6, 7 and 8 slightly revised</t>
  </si>
  <si>
    <t>RAISON</t>
  </si>
  <si>
    <t>why can't work more (when want to)</t>
  </si>
  <si>
    <t>reason for part time</t>
  </si>
  <si>
    <t>RAISTP divided in RAISTP and RAISTF in 2013 (see details in doc)</t>
  </si>
  <si>
    <t>SOU</t>
  </si>
  <si>
    <t>wants to have another job (in addition or as replacement)</t>
  </si>
  <si>
    <t>wants to have another job IN ADDITION</t>
  </si>
  <si>
    <t>built on SOUA and SOUB ; strong revision in 2013 due to change in SOUA and SOUB</t>
  </si>
  <si>
    <t>substantial addition ; NEED MATCH</t>
  </si>
  <si>
    <t>SOUSEMPL</t>
  </si>
  <si>
    <t>subemployment</t>
  </si>
  <si>
    <t>less restrictive since 2013 (see details); no SU if left blank</t>
  </si>
  <si>
    <t>status main employment</t>
  </si>
  <si>
    <t>could be used to identify autoentrepreneurship ; slight revision in 2013</t>
  </si>
  <si>
    <t>status of employment sought</t>
  </si>
  <si>
    <t>wants to work more for added pay</t>
  </si>
  <si>
    <t>framing of the question differs since 2013, important increase</t>
  </si>
  <si>
    <t>type of household</t>
  </si>
  <si>
    <t>TYPMEN7</t>
  </si>
  <si>
    <t>redesigned in 2013 for added precision</t>
  </si>
  <si>
    <t>Weighting</t>
  </si>
  <si>
    <t>employment status (BIT status)</t>
  </si>
  <si>
    <t>ACTEU6 for added details</t>
  </si>
  <si>
    <t>ACTIF</t>
  </si>
  <si>
    <t>active based on BIT definition</t>
  </si>
  <si>
    <t>AGE3</t>
  </si>
  <si>
    <t>age (cat)</t>
  </si>
  <si>
    <t>Age (cat)</t>
  </si>
  <si>
    <t>age (con)</t>
  </si>
  <si>
    <t>nb of employer for main job</t>
  </si>
  <si>
    <t>nb of additional jobs</t>
  </si>
  <si>
    <t>slight category change, removes thoe with multiple employer but no main one</t>
  </si>
  <si>
    <t xml:space="preserve">distinction between pluriemployability and pluriactivity was NOT taken into account before 2013 ! </t>
  </si>
  <si>
    <t>unchanged professional situation since last poll</t>
  </si>
  <si>
    <t>built from APOBANSAL and APOBASAL in former poll</t>
  </si>
  <si>
    <t>autoentrepreneur (main job)</t>
  </si>
  <si>
    <t>AUTOENTA</t>
  </si>
  <si>
    <t>autoentrepreneur (secondary job)</t>
  </si>
  <si>
    <t>use AUTOENTB, AUTOENTC for tertiary job etc..</t>
  </si>
  <si>
    <t>nature of employer (main job)</t>
  </si>
  <si>
    <t>some change in the categories defined in 2013 (check for match)</t>
  </si>
  <si>
    <t>CHPUBB</t>
  </si>
  <si>
    <t>replacement for CHPUB2, some change in the categories defined in 2013 (check for match)</t>
  </si>
  <si>
    <t>nature of secondary employer (main job)</t>
  </si>
  <si>
    <t>CREACCM04</t>
  </si>
  <si>
    <t>wants another job to work more hours</t>
  </si>
  <si>
    <t>part of series of CRECCMxx to qualify wish for another job ; respondent can now give more than one response for why he is seeking a new job (more positive response); may enrich response with CREACCM05 (wish for more flexible schedule)</t>
  </si>
  <si>
    <t>main reason for seeking anothr job</t>
  </si>
  <si>
    <t>replacement for CREACC</t>
  </si>
  <si>
    <t>CSER</t>
  </si>
  <si>
    <t>socio professional category</t>
  </si>
  <si>
    <t>how intends to work more</t>
  </si>
  <si>
    <t>change in pop surveyed for this question in 2013 increasing nb of respondents for this question</t>
  </si>
  <si>
    <t>DATNIV</t>
  </si>
  <si>
    <t>year when highest diploma was attained</t>
  </si>
  <si>
    <t>could be used to build proxy for prof exp ?</t>
  </si>
  <si>
    <t>DDIPL</t>
  </si>
  <si>
    <t>DESC</t>
  </si>
  <si>
    <t>descend from an immigrant</t>
  </si>
  <si>
    <t>use DIP11 for added precision</t>
  </si>
  <si>
    <t>able to work more currently</t>
  </si>
  <si>
    <t>filtered on STPLC = 1</t>
  </si>
  <si>
    <t>EMP2NBH</t>
  </si>
  <si>
    <t>nb of hours worked for secondary employer</t>
  </si>
  <si>
    <t>abs val on reference week; no easy equivalent before 2013</t>
  </si>
  <si>
    <t>EMP3NBH</t>
  </si>
  <si>
    <t>nb of hours worked for secondary job</t>
  </si>
  <si>
    <t>EMPNBH</t>
  </si>
  <si>
    <t>nb of hours worked for main job</t>
  </si>
  <si>
    <t>slight change with 2013 reform</t>
  </si>
  <si>
    <t>ESTC</t>
  </si>
  <si>
    <t>status of employment declared last year</t>
  </si>
  <si>
    <t>ETTP</t>
  </si>
  <si>
    <t>EXTRID</t>
  </si>
  <si>
    <t>nature of employment (part vs full)</t>
  </si>
  <si>
    <t>important change in 2013 (restricted to salaried workers before)</t>
  </si>
  <si>
    <t>Default</t>
  </si>
  <si>
    <t>nb of hourse worked/week for main job</t>
  </si>
  <si>
    <t>include overtime since 2013; continuous (see HHC5 for cat)</t>
  </si>
  <si>
    <t>IMMI</t>
  </si>
  <si>
    <t>immigrant ? (born abroad)</t>
  </si>
  <si>
    <t>NAFEMP2G004N</t>
  </si>
  <si>
    <t>sector of the secondary employer</t>
  </si>
  <si>
    <t>correspond to NAFEM2G4N in previous iterations; use NAFEMP3G004N for tertiary employer</t>
  </si>
  <si>
    <t>NBENFIND</t>
  </si>
  <si>
    <t>nb of kids that are part of the given household</t>
  </si>
  <si>
    <t>position for main job</t>
  </si>
  <si>
    <t>QPRCS2</t>
  </si>
  <si>
    <t>position for secondary job</t>
  </si>
  <si>
    <t>main reason for working part time</t>
  </si>
  <si>
    <t>can use QPRCSx for other jobs</t>
  </si>
  <si>
    <t>refined in 2013 (divided in RAISTP and RAISTF)</t>
  </si>
  <si>
    <t>EXTRIDF</t>
  </si>
  <si>
    <t>salaried and CEO only</t>
  </si>
  <si>
    <t>SALSEE</t>
  </si>
  <si>
    <t>SALREDTR</t>
  </si>
  <si>
    <t>monthly salary from main job (categorical)</t>
  </si>
  <si>
    <t>monthly salary from additional jobs (continuous)</t>
  </si>
  <si>
    <t>careful with time unit (month or year) before 2013 (use in conjugation with TEMPSA for 2012 and below)</t>
  </si>
  <si>
    <t>SCHPUBA</t>
  </si>
  <si>
    <t>employer type for second job</t>
  </si>
  <si>
    <t>replace CHPUBS3 in 2013</t>
  </si>
  <si>
    <t>gender dummy</t>
  </si>
  <si>
    <t>SNBSALA</t>
  </si>
  <si>
    <t>nb of employees (secondary job firm)</t>
  </si>
  <si>
    <t>only relevant for those with STATUTS2 = 1 or 2</t>
  </si>
  <si>
    <t>wish to have one more job in addition to existing one</t>
  </si>
  <si>
    <t>significant change in methodology in 2013 with addition of SOUB instead of just SOUA</t>
  </si>
  <si>
    <t>type of subemployment</t>
  </si>
  <si>
    <t>less restrictive in scope since 2013</t>
  </si>
  <si>
    <t>SP00</t>
  </si>
  <si>
    <t>main professional situation (on the month of the survey)</t>
  </si>
  <si>
    <t xml:space="preserve">revised significantly in 2013; declaration based (not tailored to BIT standards) ; can use SPxx to track status in months preceding the survey </t>
  </si>
  <si>
    <t>STATUT</t>
  </si>
  <si>
    <t>main job status</t>
  </si>
  <si>
    <t>more detailed than just salaried or non salaried</t>
  </si>
  <si>
    <t>STAT2</t>
  </si>
  <si>
    <t>STATUTS2</t>
  </si>
  <si>
    <t>can get it for tertiary etc.. Using STATUTSx ; slight change in 2013</t>
  </si>
  <si>
    <t>main job status (salaried / non salaried)</t>
  </si>
  <si>
    <t>secondary job status</t>
  </si>
  <si>
    <t>slightly modified in 2013</t>
  </si>
  <si>
    <t>status of the job sought</t>
  </si>
  <si>
    <t>to be filtered to focus on pluriactive</t>
  </si>
  <si>
    <t>wish to work more to earn more</t>
  </si>
  <si>
    <t>not just on reference week 2013 onwards !</t>
  </si>
  <si>
    <t>TOTNBH</t>
  </si>
  <si>
    <t>number of hours worked (in total)</t>
  </si>
  <si>
    <t>main job type (full/part)</t>
  </si>
  <si>
    <t>filter on apprenticeship to avoid conflict post 2013 reform</t>
  </si>
  <si>
    <t>vigilance on trimesters considered; can get additional details using tXTPPRED</t>
  </si>
  <si>
    <t>ante-2007</t>
  </si>
  <si>
    <t>AM1NB</t>
  </si>
  <si>
    <t>nb of employers</t>
  </si>
  <si>
    <t>ties to B07</t>
  </si>
  <si>
    <t>nb of professional activities on the reference week</t>
  </si>
  <si>
    <t>AP0B</t>
  </si>
  <si>
    <t>no change in professional status since last survey</t>
  </si>
  <si>
    <t xml:space="preserve">other professional activity during the ref week ? </t>
  </si>
  <si>
    <t>change of question title in 2004</t>
  </si>
  <si>
    <t>nature of the main employer</t>
  </si>
  <si>
    <t>change in categories in 2005</t>
  </si>
  <si>
    <t>can take CHPUBx for other additional jobs</t>
  </si>
  <si>
    <t xml:space="preserve">highest education level reached </t>
  </si>
  <si>
    <t>COHAB</t>
  </si>
  <si>
    <t xml:space="preserve">couple </t>
  </si>
  <si>
    <t>type of work contract</t>
  </si>
  <si>
    <t>modified in 2006 (T1)</t>
  </si>
  <si>
    <t>reason for seeking another job</t>
  </si>
  <si>
    <t>modified in 2005 (T1)</t>
  </si>
  <si>
    <t>CREANT</t>
  </si>
  <si>
    <t>reason for company creation</t>
  </si>
  <si>
    <t>CSRECH</t>
  </si>
  <si>
    <t>category of job sought</t>
  </si>
  <si>
    <t>CSTOT</t>
  </si>
  <si>
    <t>socioprofessional category</t>
  </si>
  <si>
    <t>DIP11 for added precison</t>
  </si>
  <si>
    <t>work hours (cat)</t>
  </si>
  <si>
    <t>built from B33a and B37</t>
  </si>
  <si>
    <t>nb of hours on main job for ref week (cont)</t>
  </si>
  <si>
    <t>modified in 2004 ; use EMPNBH6 for cat version</t>
  </si>
  <si>
    <t>HHx</t>
  </si>
  <si>
    <t>nature of the employer for job x</t>
  </si>
  <si>
    <t>CHPUBSx</t>
  </si>
  <si>
    <t>CSSx</t>
  </si>
  <si>
    <t>type of job x</t>
  </si>
  <si>
    <t xml:space="preserve">create in 2005 (T1); </t>
  </si>
  <si>
    <t>question revised in 2005</t>
  </si>
  <si>
    <t xml:space="preserve">nb of hours /week on average for employer x </t>
  </si>
  <si>
    <t>nb of hours/week on average for main job</t>
  </si>
  <si>
    <t>HHSx</t>
  </si>
  <si>
    <t>nb of hours/week on average for job x</t>
  </si>
  <si>
    <t>continuous</t>
  </si>
  <si>
    <t>revised in 2004 (T1) ; continuous</t>
  </si>
  <si>
    <t>HPLUS</t>
  </si>
  <si>
    <t>nb of hours/week targeted</t>
  </si>
  <si>
    <t>revised in 2003 (T3)</t>
  </si>
  <si>
    <t>NAF</t>
  </si>
  <si>
    <t>NAFPROx</t>
  </si>
  <si>
    <t>economic activity of main job</t>
  </si>
  <si>
    <t>economic activity of job x</t>
  </si>
  <si>
    <t>cat</t>
  </si>
  <si>
    <t>NBTEMP</t>
  </si>
  <si>
    <t>ties to B06</t>
  </si>
  <si>
    <t>nature of the job sought</t>
  </si>
  <si>
    <t>revised in 2005 (T1)</t>
  </si>
  <si>
    <t>QUELSx/QUELx</t>
  </si>
  <si>
    <t>job x / job for employer x is "régulier/occasionnel"</t>
  </si>
  <si>
    <t>reason for working part-time</t>
  </si>
  <si>
    <t>REC</t>
  </si>
  <si>
    <t>status of job sought</t>
  </si>
  <si>
    <t>modified 2005 (T1)</t>
  </si>
  <si>
    <t>salary from secondary professional activity</t>
  </si>
  <si>
    <t>wishes to have another job</t>
  </si>
  <si>
    <t>SOUA</t>
  </si>
  <si>
    <t>modified in 2004, 2005 ; MAJOR problem as there is no distinction between wish for additional employmenbt compared to replacement one ; filtered to include only people with regular job during ref week (look at SOUB otherwise)</t>
  </si>
  <si>
    <t>retropoled from 2003 (T1)</t>
  </si>
  <si>
    <t>post-2007</t>
  </si>
  <si>
    <t>type and nature of subemployment</t>
  </si>
  <si>
    <t>salaried/non salaried worker (main)</t>
  </si>
  <si>
    <t>STATUTSx</t>
  </si>
  <si>
    <t>salaried/non salaried worker (job X)</t>
  </si>
  <si>
    <t>type of job sought these past 4 weeks</t>
  </si>
  <si>
    <t>total nb of hours worked (across all jobs)</t>
  </si>
  <si>
    <t>week/month ??</t>
  </si>
  <si>
    <t>part/full time main job</t>
  </si>
  <si>
    <t>activity status (BIT)</t>
  </si>
  <si>
    <t>age at the end of the reference week</t>
  </si>
  <si>
    <t>APCS1_Y</t>
  </si>
  <si>
    <t>professional category of main job (last job for unemployed)</t>
  </si>
  <si>
    <t>EXTRID until 2022</t>
  </si>
  <si>
    <t>post-2021</t>
  </si>
  <si>
    <t>to be filtered on ACTEU = 1 (avoid taking into account previously employed) ; added detail with APCS1Q_Y for qualified/unqualified</t>
  </si>
  <si>
    <t>AUTOENT2J_Y</t>
  </si>
  <si>
    <t>microentrepreneur on the secondary job</t>
  </si>
  <si>
    <t>filtered on RGA and STATUT2J</t>
  </si>
  <si>
    <t>CDD/CDI</t>
  </si>
  <si>
    <t>CDI or CDD work contract (salaried only)</t>
  </si>
  <si>
    <t>nature of the employer</t>
  </si>
  <si>
    <t>ante-2021</t>
  </si>
  <si>
    <t>CL_EMPLOI</t>
  </si>
  <si>
    <t>employment type (main)</t>
  </si>
  <si>
    <t>highest diploma achieved</t>
  </si>
  <si>
    <t>see DIP_29 for added details, filter on age</t>
  </si>
  <si>
    <t>available to work more hours</t>
  </si>
  <si>
    <t>ETATMATRI_Y</t>
  </si>
  <si>
    <t>matrimonial status</t>
  </si>
  <si>
    <t>HEFFEMP</t>
  </si>
  <si>
    <t>nb of effective work  hours on referebnce week</t>
  </si>
  <si>
    <t>HEFFEMPx</t>
  </si>
  <si>
    <t>filtered on NBEMP</t>
  </si>
  <si>
    <t>nb of effective work hours on reference week (job x)</t>
  </si>
  <si>
    <t>main job only, use HHABEMP for week average</t>
  </si>
  <si>
    <t>ICSERA_Y</t>
  </si>
  <si>
    <t>non salaried vs salaried (BIT)</t>
  </si>
  <si>
    <t>filtered on ACTEU and RGA = 1</t>
  </si>
  <si>
    <t>immigrant</t>
  </si>
  <si>
    <t>INDTYP</t>
  </si>
  <si>
    <t>type of non-salaried job</t>
  </si>
  <si>
    <t>provides additional detail on non-salaried job (might be used to flag auto entrepreneurship)</t>
  </si>
  <si>
    <t>INTERIM</t>
  </si>
  <si>
    <t>temp job (main)</t>
  </si>
  <si>
    <t>aged 15 or above, (alternative with LFS_EMPSTAT)</t>
  </si>
  <si>
    <t>LFS_FTPT</t>
  </si>
  <si>
    <t>full/part time (main)</t>
  </si>
  <si>
    <t>declarative, investigate reason with LFS_FTPTREAS</t>
  </si>
  <si>
    <t>LFS_HWUSUAL</t>
  </si>
  <si>
    <t>look at LFS_HWUSU2J for second job and LFS_HWWISH_Y for ideal</t>
  </si>
  <si>
    <t>number of jobs</t>
  </si>
  <si>
    <t xml:space="preserve"> </t>
  </si>
  <si>
    <t>gender</t>
  </si>
  <si>
    <t>NBEMP</t>
  </si>
  <si>
    <t>ILO employment status (equivalent ACTEU)</t>
  </si>
  <si>
    <t>nb of hours per week usually worked in main job (equivalent HHABEMP)</t>
  </si>
  <si>
    <t>LFS_STAPRO</t>
  </si>
  <si>
    <t>employment status (main job)</t>
  </si>
  <si>
    <t>equivalent of STC, NBSAL_Y ; use LFS_STAPRO2J for secondary job</t>
  </si>
  <si>
    <t>equivalent of STPLC</t>
  </si>
  <si>
    <t>sector of main job</t>
  </si>
  <si>
    <t>NAFEMP2JG004N</t>
  </si>
  <si>
    <t>sector of secondary job</t>
  </si>
  <si>
    <t>NAFG004N</t>
  </si>
  <si>
    <t>NATIO</t>
  </si>
  <si>
    <t>nationality</t>
  </si>
  <si>
    <t>filtered on ACTEU</t>
  </si>
  <si>
    <t>PCSx</t>
  </si>
  <si>
    <t>job category for job x</t>
  </si>
  <si>
    <t>RAISEMPSUP4_Y</t>
  </si>
  <si>
    <t>wants to get another job to work more hours</t>
  </si>
  <si>
    <t>filtered on SOUEMP and RGA</t>
  </si>
  <si>
    <t>RAISEMPSUPP_Y</t>
  </si>
  <si>
    <t>main reason for seeking another job</t>
  </si>
  <si>
    <t>main reason for part time</t>
  </si>
  <si>
    <t>filtered on TPPRED</t>
  </si>
  <si>
    <t>detailed categories for salaried / non-salaried ; can use SALDET as well</t>
  </si>
  <si>
    <t>filtered on STATUT; salaried only , SALTYP can also be used for main job</t>
  </si>
  <si>
    <t>wish for another job</t>
  </si>
  <si>
    <t>SOUEMP_Y</t>
  </si>
  <si>
    <t>can use SOUSEMPLR to identify existence of subemployment</t>
  </si>
  <si>
    <t>qualify subemployment (3 cat criteria)</t>
  </si>
  <si>
    <t>aggregated status (main)</t>
  </si>
  <si>
    <t>STATUT2J</t>
  </si>
  <si>
    <t>aggregated status (secondary)</t>
  </si>
  <si>
    <t>STATUTDET</t>
  </si>
  <si>
    <t xml:space="preserve">detailed employment status </t>
  </si>
  <si>
    <t>filtered on ACTEU, use STATUTDET2J for secondary job</t>
  </si>
  <si>
    <t>filtered on ACTEU ; can also use STC</t>
  </si>
  <si>
    <t>STCH_Y</t>
  </si>
  <si>
    <t>type of other job sought</t>
  </si>
  <si>
    <t>could use STCHENE_Y as well</t>
  </si>
  <si>
    <t>STCPUB2J</t>
  </si>
  <si>
    <t>employment status (secondary)</t>
  </si>
  <si>
    <t>STPM_Y</t>
  </si>
  <si>
    <t>wishes to work more/less</t>
  </si>
  <si>
    <t>TAM1B</t>
  </si>
  <si>
    <t>detailed status for non-salaried (no employer)</t>
  </si>
  <si>
    <t xml:space="preserve">modalities revised in 2021 ? </t>
  </si>
  <si>
    <t>TPPRED</t>
  </si>
  <si>
    <t>*Variables with LFS are European variables</t>
  </si>
  <si>
    <t>QC_lcap</t>
  </si>
  <si>
    <t>DIP7</t>
  </si>
  <si>
    <t>Problem</t>
  </si>
  <si>
    <t xml:space="preserve">As proxy for PCLCA </t>
  </si>
  <si>
    <t>No access to NBTEMPA and NBTEMPB</t>
  </si>
  <si>
    <t>identify pluriemployed</t>
  </si>
  <si>
    <t>how many different employers for main job</t>
  </si>
  <si>
    <t>job x type (salaried/non salaried)</t>
  </si>
  <si>
    <t>job x type (private firm, public..)</t>
  </si>
  <si>
    <t>type of main job (technician, engineer..)</t>
  </si>
  <si>
    <t>filtered on salaried (STATUTS) ; need checking</t>
  </si>
  <si>
    <t>filtered on SSTCx = 1 ; need checking</t>
  </si>
  <si>
    <t>exists but need to check filtering since SSTC is not in the file</t>
  </si>
  <si>
    <t xml:space="preserve">MISSING ; use REA for interrogation rank instead ? </t>
  </si>
  <si>
    <t>MISSING ; Not present in codebook 2020, probably replaced by STATUTSx from 2013, TBC</t>
  </si>
  <si>
    <t>MISSING ; No clear equivalent (check QPRCR and MQPRCR), TBC</t>
  </si>
  <si>
    <t>TPPOK</t>
  </si>
  <si>
    <t>*alphabetic variants</t>
  </si>
  <si>
    <t>**numeric variants</t>
  </si>
  <si>
    <t>SSTCx*</t>
  </si>
  <si>
    <t>SCHPUBx*</t>
  </si>
  <si>
    <t>AUTOENTx*</t>
  </si>
  <si>
    <t>EMPxNBH**</t>
  </si>
  <si>
    <t>hours worked on reference week (cont)</t>
  </si>
  <si>
    <t>DIP5</t>
  </si>
  <si>
    <t>5 levels ; can use DIP11 for added details</t>
  </si>
  <si>
    <t>MISSING ; check for proxy in 2013</t>
  </si>
  <si>
    <t>filtered on NBEMP, use HHABEMPx for week average ; careful x=3 includes all job beyond secondary ; continuous</t>
  </si>
  <si>
    <t>LFS_ILOSTAT</t>
  </si>
  <si>
    <t>LFS_WISHMORE</t>
  </si>
  <si>
    <t xml:space="preserve">CHECK EXTRID in files ! </t>
  </si>
  <si>
    <t>nature of employer x (for main job)</t>
  </si>
  <si>
    <t>CITE97</t>
  </si>
  <si>
    <t>CHECK disambiguation EXTRI weights</t>
  </si>
  <si>
    <t>Year</t>
  </si>
  <si>
    <t>Variable</t>
  </si>
  <si>
    <t>SCHPUB</t>
  </si>
  <si>
    <t>NAFEMPG004N</t>
  </si>
  <si>
    <t>HHS</t>
  </si>
  <si>
    <t>NAFEMP2</t>
  </si>
  <si>
    <t>NAFEMP2N</t>
  </si>
  <si>
    <t>job nb</t>
  </si>
  <si>
    <t>job type</t>
  </si>
  <si>
    <t>motivation</t>
  </si>
  <si>
    <t>pl wish</t>
  </si>
  <si>
    <t>hours</t>
  </si>
  <si>
    <t>age</t>
  </si>
  <si>
    <t>sex</t>
  </si>
  <si>
    <t>education</t>
  </si>
  <si>
    <t>part/full</t>
  </si>
  <si>
    <t>origin</t>
  </si>
  <si>
    <t>autoent</t>
  </si>
  <si>
    <t>empl</t>
  </si>
  <si>
    <t>Question code</t>
  </si>
  <si>
    <t>STATUTS3</t>
  </si>
  <si>
    <t>STATUTS4</t>
  </si>
  <si>
    <t>Type</t>
  </si>
  <si>
    <t>identification</t>
  </si>
  <si>
    <t>NOI</t>
  </si>
  <si>
    <t>IDENT</t>
  </si>
  <si>
    <t>TRIM</t>
  </si>
  <si>
    <t>EXTRI</t>
  </si>
  <si>
    <t>LNAIS</t>
  </si>
  <si>
    <t>PAIMERC</t>
  </si>
  <si>
    <t>PAIPERC</t>
  </si>
  <si>
    <t>AUTOENTB</t>
  </si>
  <si>
    <t>AUTOENTC</t>
  </si>
  <si>
    <t>CHPUBA</t>
  </si>
  <si>
    <t>SCHPUBB</t>
  </si>
  <si>
    <t>NAFEMP3G004N</t>
  </si>
  <si>
    <t>STNREDP</t>
  </si>
  <si>
    <t>SCHPUBC</t>
  </si>
  <si>
    <t>CHPUBC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</si>
</sst>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4472C4"/>
        <bgColor rgb="FF4472C4"/>
      </patternFill>
    </fill>
  </fills>
  <borders count="16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4472C4"/>
      </left>
      <right style="thin">
        <color indexed="64"/>
      </right>
      <top style="thin">
        <color rgb="FF4472C4"/>
      </top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5" fillId="5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0" applyFont="1"/>
    <xf numFmtId="0" fontId="1" fillId="2" borderId="0" xfId="0" applyFont="1" applyFill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9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5" xfId="0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3" borderId="5" xfId="0" applyFill="1" applyBorder="1" applyAlignment="1">
      <alignment vertical="center"/>
    </xf>
    <xf numFmtId="0" fontId="0" fillId="3" borderId="5" xfId="0" applyFill="1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0" fillId="3" borderId="4" xfId="0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6" borderId="0" xfId="0" applyFill="1"/>
    <xf numFmtId="0" fontId="0" fillId="7" borderId="0" xfId="0" applyFill="1"/>
    <xf numFmtId="0" fontId="7" fillId="4" borderId="0" xfId="1" applyFont="1" applyAlignment="1">
      <alignment horizontal="center"/>
    </xf>
    <xf numFmtId="0" fontId="0" fillId="6" borderId="10" xfId="0" applyFill="1" applyBorder="1"/>
    <xf numFmtId="0" fontId="0" fillId="7" borderId="10" xfId="0" applyFill="1" applyBorder="1"/>
    <xf numFmtId="0" fontId="5" fillId="5" borderId="11" xfId="2" applyBorder="1" applyAlignment="1">
      <alignment horizontal="center"/>
    </xf>
    <xf numFmtId="0" fontId="5" fillId="5" borderId="12" xfId="2" applyBorder="1"/>
    <xf numFmtId="0" fontId="0" fillId="7" borderId="13" xfId="0" applyFill="1" applyBorder="1"/>
    <xf numFmtId="0" fontId="0" fillId="6" borderId="13" xfId="0" applyFill="1" applyBorder="1"/>
    <xf numFmtId="0" fontId="8" fillId="8" borderId="14" xfId="0" applyFont="1" applyFill="1" applyBorder="1"/>
    <xf numFmtId="0" fontId="5" fillId="5" borderId="15" xfId="2" applyBorder="1"/>
    <xf numFmtId="2" fontId="0" fillId="0" borderId="0" xfId="0" applyNumberFormat="1"/>
    <xf numFmtId="0" fontId="7" fillId="4" borderId="0" xfId="1" applyFont="1" applyAlignment="1">
      <alignment horizontal="center"/>
    </xf>
  </cellXfs>
  <cellStyles count="3">
    <cellStyle name="40% - Accent1" xfId="2" builtinId="31"/>
    <cellStyle name="Accent1" xfId="1" builtinId="29"/>
    <cellStyle name="Normal" xfId="0" builtinId="0"/>
  </cellStyles>
  <dxfs count="4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center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71D6053-6219-A348-9FC7-63CAE761BCB8}" name="Table7" displayName="Table7" ref="A1:B58" totalsRowShown="0" dataCellStyle="40% - Accent1">
  <autoFilter ref="A1:B58" xr:uid="{B71D6053-6219-A348-9FC7-63CAE761BCB8}"/>
  <sortState xmlns:xlrd2="http://schemas.microsoft.com/office/spreadsheetml/2017/richdata2" ref="A2:B48">
    <sortCondition ref="A1:A48"/>
  </sortState>
  <tableColumns count="2">
    <tableColumn id="1" xr3:uid="{0868252A-F575-504D-AE4A-7DC1BC68FBC0}" name="Question code" dataDxfId="42" dataCellStyle="40% - Accent1"/>
    <tableColumn id="2" xr3:uid="{AA74DEFA-4DE4-2942-BFE1-4BB362E0F8EB}" name="QC_lcap" dataDxfId="41" dataCellStyle="40% - Accent1">
      <calculatedColumnFormula>LOWER(A2)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ACF720-8D8A-0743-8BB2-45DD4D95DC56}" name="Table3" displayName="Table3" ref="A1:H42" totalsRowShown="0" headerRowDxfId="40" dataDxfId="38" headerRowBorderDxfId="39" tableBorderDxfId="37" totalsRowBorderDxfId="36">
  <autoFilter ref="A1:H42" xr:uid="{F6ACF720-8D8A-0743-8BB2-45DD4D95DC56}"/>
  <tableColumns count="8">
    <tableColumn id="2" xr3:uid="{2FC0B2B1-D861-1C48-A4A7-2FC04283E074}" name="Question Code" dataDxfId="35"/>
    <tableColumn id="9" xr3:uid="{B8682B34-FF93-C345-BAA9-3F1B31CDE498}" name="QC_lcap" dataDxfId="34">
      <calculatedColumnFormula>LOWER(Table3[[#This Row],[Question Code]])</calculatedColumnFormula>
    </tableColumn>
    <tableColumn id="3" xr3:uid="{C81EE1F3-A5AA-2348-B490-E10B69258489}" name="Description" dataDxfId="33"/>
    <tableColumn id="4" xr3:uid="{F2A8F7D1-CD16-C240-8FBD-8A3B6ADF5512}" name="Use" dataDxfId="32"/>
    <tableColumn id="5" xr3:uid="{0995FA0A-CDA7-0B4E-BD88-2C9ABB764434}" name="Field" dataDxfId="31"/>
    <tableColumn id="6" xr3:uid="{77A9C843-1DEF-E34E-8864-653FCDA1BD78}" name="Comment" dataDxfId="30"/>
    <tableColumn id="8" xr3:uid="{1C55D2E1-1F58-0E45-A87C-3F6C218FE90D}" name="Validity" dataDxfId="29"/>
    <tableColumn id="7" xr3:uid="{628B11B8-56B6-194F-88FE-743B6719241E}" name="Weighting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EA77C3-AD21-D34D-A1F1-3E907B84740B}" name="Table1" displayName="Table1" ref="A1:G43" totalsRowShown="0" dataDxfId="27">
  <autoFilter ref="A1:G43" xr:uid="{1EEA77C3-AD21-D34D-A1F1-3E907B84740B}"/>
  <tableColumns count="7">
    <tableColumn id="2" xr3:uid="{AE6A63BF-54AF-CA45-B6F0-35EDD550D74E}" name="Question Code" dataDxfId="26"/>
    <tableColumn id="1" xr3:uid="{6495523B-21C2-0949-BA89-4BD42B1333B7}" name="QC_lcap" dataDxfId="25">
      <calculatedColumnFormula>LOWER(Table1[[#This Row],[Question Code]])</calculatedColumnFormula>
    </tableColumn>
    <tableColumn id="3" xr3:uid="{C3BFD820-E520-9E48-ABE8-4968E46AA301}" name="Description" dataDxfId="24"/>
    <tableColumn id="4" xr3:uid="{1503FE24-2A01-6243-9047-EDBF8397D71D}" name="Use" dataDxfId="23"/>
    <tableColumn id="6" xr3:uid="{6B6CFD79-70CB-DB44-9C7D-DD54769034AF}" name="Comment" dataDxfId="22"/>
    <tableColumn id="7" xr3:uid="{BA5C49FB-A4D8-9041-9E06-6ED57E77020C}" name="Weighting" dataDxfId="21"/>
    <tableColumn id="5" xr3:uid="{404A1FFE-5653-C545-9047-318026C51B90}" name="Problem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C74F19-985E-A54A-AA06-502BF6B474DA}" name="Table2" displayName="Table2" ref="B3:F28" totalsRowShown="0">
  <autoFilter ref="B3:F28" xr:uid="{B6C74F19-985E-A54A-AA06-502BF6B474DA}"/>
  <tableColumns count="5">
    <tableColumn id="1" xr3:uid="{58947836-DD29-A54E-81B4-1C52D76EE48F}" name="Question Code"/>
    <tableColumn id="2" xr3:uid="{4C1BAF01-C4FC-3749-8FBF-1851D46D8CC2}" name="Description"/>
    <tableColumn id="3" xr3:uid="{17182EA7-24F4-BF45-8D0E-68B52C704A66}" name="Use"/>
    <tableColumn id="4" xr3:uid="{C2A799CA-D542-3240-A82B-D47394273B88}" name="Comment"/>
    <tableColumn id="5" xr3:uid="{1DDF445E-68A5-874B-B3BA-662366E8AFDC}" name="Validit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0E5D45-36BA-9343-A987-F8DFD724BFD6}" name="Table5" displayName="Table5" ref="A1:G49" totalsRowShown="0" headerRowDxfId="19" dataDxfId="18">
  <autoFilter ref="A1:G49" xr:uid="{800E5D45-36BA-9343-A987-F8DFD724BFD6}"/>
  <tableColumns count="7">
    <tableColumn id="1" xr3:uid="{E08C23BD-9A76-8941-8EBB-987B3FEC3A8D}" name="Question Code" dataDxfId="17"/>
    <tableColumn id="7" xr3:uid="{5B0195C9-1F29-A74E-9A2C-EF4424E71D34}" name="QC_lcap" dataDxfId="16">
      <calculatedColumnFormula>LOWER(Table5[[#This Row],[Question Code]])</calculatedColumnFormula>
    </tableColumn>
    <tableColumn id="2" xr3:uid="{9439E00F-E596-C647-914E-A4BE8BE3273B}" name="Description" dataDxfId="15"/>
    <tableColumn id="3" xr3:uid="{93F2E759-FA1B-A248-A100-A5BCDBD78D56}" name="Use" dataDxfId="14"/>
    <tableColumn id="4" xr3:uid="{F28FC004-5A51-0640-A920-E8AA4439C8B7}" name="Comment" dataDxfId="13"/>
    <tableColumn id="5" xr3:uid="{A0265372-BD2C-0F42-9CE3-6900C6AB0F86}" name="Validity" dataDxfId="12"/>
    <tableColumn id="6" xr3:uid="{3B455936-2FC4-2343-B765-9E257E307702}" name="Weighting" dataDxf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F7F62D-6819-A14D-803B-63E6D8108FA7}" name="Table6" displayName="Table6" ref="A1:G41" totalsRowShown="0" headerRowDxfId="10" dataDxfId="9" tableBorderDxfId="8">
  <autoFilter ref="A1:G41" xr:uid="{AAF7F62D-6819-A14D-803B-63E6D8108FA7}"/>
  <tableColumns count="7">
    <tableColumn id="1" xr3:uid="{A4220D43-3B95-F14C-9E76-225DE93AF68C}" name="Question Code" dataDxfId="7"/>
    <tableColumn id="7" xr3:uid="{967DAC4C-D834-5F4C-BB74-6CFF4AD07928}" name="QC_lcap" dataDxfId="6">
      <calculatedColumnFormula>LOWER(Table6[[#This Row],[Question Code]])</calculatedColumnFormula>
    </tableColumn>
    <tableColumn id="2" xr3:uid="{74979C41-696A-5B47-9BC5-1EAB379DD1E4}" name="Description" dataDxfId="5"/>
    <tableColumn id="3" xr3:uid="{19E665F6-7847-014E-967F-EE3F7503AF99}" name="Use" dataDxfId="4"/>
    <tableColumn id="4" xr3:uid="{E16904E1-44C2-274F-ACC3-DC1393B6002C}" name="Comment" dataDxfId="3"/>
    <tableColumn id="5" xr3:uid="{089744C7-2652-C947-9CBB-1193D25242EA}" name="Validity" dataDxfId="2"/>
    <tableColumn id="6" xr3:uid="{146CF5AD-7FAD-B84B-BB10-785E5CEB8B31}" name="Weighting" dataDxfId="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0F6FB0-4A52-F043-8348-D3B07626B953}" name="Table4" displayName="Table4" ref="B3:B25" totalsRowShown="0" headerRowDxfId="0">
  <autoFilter ref="B3:B25" xr:uid="{390F6FB0-4A52-F043-8348-D3B07626B953}"/>
  <sortState xmlns:xlrd2="http://schemas.microsoft.com/office/spreadsheetml/2017/richdata2" ref="B4:B24">
    <sortCondition ref="B3:B24"/>
  </sortState>
  <tableColumns count="1">
    <tableColumn id="1" xr3:uid="{44CEB77C-FB36-0941-90CA-DB0769A95B40}" name="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F6087-0AE5-204D-A563-7FEB8DD6F5FF}">
  <dimension ref="A1:B58"/>
  <sheetViews>
    <sheetView tabSelected="1" topLeftCell="A26" workbookViewId="0">
      <selection activeCell="C38" sqref="C38"/>
    </sheetView>
  </sheetViews>
  <sheetFormatPr baseColWidth="10" defaultRowHeight="16" x14ac:dyDescent="0.2"/>
  <cols>
    <col min="1" max="1" width="15.1640625" customWidth="1"/>
    <col min="2" max="2" width="14" bestFit="1" customWidth="1"/>
  </cols>
  <sheetData>
    <row r="1" spans="1:2" x14ac:dyDescent="0.2">
      <c r="A1" t="s">
        <v>520</v>
      </c>
      <c r="B1" s="37" t="s">
        <v>467</v>
      </c>
    </row>
    <row r="2" spans="1:2" x14ac:dyDescent="0.2">
      <c r="A2" s="34" t="s">
        <v>123</v>
      </c>
      <c r="B2" s="34" t="str">
        <f t="shared" ref="B2:B34" si="0">LOWER(A2)</f>
        <v>acteu</v>
      </c>
    </row>
    <row r="3" spans="1:2" x14ac:dyDescent="0.2">
      <c r="A3" s="34" t="s">
        <v>126</v>
      </c>
      <c r="B3" s="34" t="str">
        <f t="shared" si="0"/>
        <v>age</v>
      </c>
    </row>
    <row r="4" spans="1:2" x14ac:dyDescent="0.2">
      <c r="A4" s="34" t="s">
        <v>300</v>
      </c>
      <c r="B4" s="34" t="str">
        <f t="shared" si="0"/>
        <v>am1nb</v>
      </c>
    </row>
    <row r="5" spans="1:2" x14ac:dyDescent="0.2">
      <c r="A5" s="34" t="s">
        <v>68</v>
      </c>
      <c r="B5" s="34" t="str">
        <f t="shared" si="0"/>
        <v>am2nb</v>
      </c>
    </row>
    <row r="6" spans="1:2" x14ac:dyDescent="0.2">
      <c r="A6" s="34" t="s">
        <v>41</v>
      </c>
      <c r="B6" s="34" t="str">
        <f t="shared" si="0"/>
        <v>autoent</v>
      </c>
    </row>
    <row r="7" spans="1:2" x14ac:dyDescent="0.2">
      <c r="A7" s="34" t="s">
        <v>204</v>
      </c>
      <c r="B7" s="34" t="str">
        <f>LOWER(A7)</f>
        <v>autoenta</v>
      </c>
    </row>
    <row r="8" spans="1:2" x14ac:dyDescent="0.2">
      <c r="A8" s="34" t="s">
        <v>532</v>
      </c>
      <c r="B8" s="34" t="str">
        <f>LOWER(A8)</f>
        <v>autoentb</v>
      </c>
    </row>
    <row r="9" spans="1:2" x14ac:dyDescent="0.2">
      <c r="A9" s="34" t="s">
        <v>533</v>
      </c>
      <c r="B9" s="34" t="str">
        <f>LOWER(A9)</f>
        <v>autoentc</v>
      </c>
    </row>
    <row r="10" spans="1:2" x14ac:dyDescent="0.2">
      <c r="A10" s="34" t="s">
        <v>67</v>
      </c>
      <c r="B10" s="34" t="str">
        <f t="shared" si="0"/>
        <v>autsal</v>
      </c>
    </row>
    <row r="11" spans="1:2" x14ac:dyDescent="0.2">
      <c r="A11" s="34" t="s">
        <v>129</v>
      </c>
      <c r="B11" s="34" t="str">
        <f t="shared" si="0"/>
        <v>chpub</v>
      </c>
    </row>
    <row r="12" spans="1:2" x14ac:dyDescent="0.2">
      <c r="A12" s="34" t="s">
        <v>534</v>
      </c>
      <c r="B12" s="34" t="str">
        <f t="shared" si="0"/>
        <v>chpuba</v>
      </c>
    </row>
    <row r="13" spans="1:2" x14ac:dyDescent="0.2">
      <c r="A13" s="34" t="s">
        <v>209</v>
      </c>
      <c r="B13" s="34" t="str">
        <f t="shared" si="0"/>
        <v>chpubb</v>
      </c>
    </row>
    <row r="14" spans="1:2" x14ac:dyDescent="0.2">
      <c r="A14" s="34" t="s">
        <v>539</v>
      </c>
      <c r="B14" s="34" t="str">
        <f>LOWER(A14)</f>
        <v>chpubc</v>
      </c>
    </row>
    <row r="15" spans="1:2" x14ac:dyDescent="0.2">
      <c r="A15" s="34" t="s">
        <v>267</v>
      </c>
      <c r="B15" s="34" t="str">
        <f t="shared" si="0"/>
        <v>schpuba</v>
      </c>
    </row>
    <row r="16" spans="1:2" x14ac:dyDescent="0.2">
      <c r="A16" s="34" t="s">
        <v>535</v>
      </c>
      <c r="B16" s="34" t="str">
        <f t="shared" si="0"/>
        <v>schpubb</v>
      </c>
    </row>
    <row r="17" spans="1:2" x14ac:dyDescent="0.2">
      <c r="A17" s="34" t="s">
        <v>538</v>
      </c>
      <c r="B17" s="34" t="str">
        <f>LOWER(A17)</f>
        <v>schpubc</v>
      </c>
    </row>
    <row r="18" spans="1:2" x14ac:dyDescent="0.2">
      <c r="A18" s="34" t="s">
        <v>19</v>
      </c>
      <c r="B18" s="34" t="str">
        <f t="shared" si="0"/>
        <v>creaccp</v>
      </c>
    </row>
    <row r="19" spans="1:2" x14ac:dyDescent="0.2">
      <c r="A19" s="34" t="s">
        <v>105</v>
      </c>
      <c r="B19" s="34" t="str">
        <f t="shared" si="0"/>
        <v>cstplc</v>
      </c>
    </row>
    <row r="20" spans="1:2" x14ac:dyDescent="0.2">
      <c r="A20" s="34" t="s">
        <v>100</v>
      </c>
      <c r="B20" s="34" t="str">
        <f>LOWER(A20)</f>
        <v>stplc</v>
      </c>
    </row>
    <row r="21" spans="1:2" x14ac:dyDescent="0.2">
      <c r="A21" s="34" t="s">
        <v>224</v>
      </c>
      <c r="B21" s="34" t="str">
        <f t="shared" si="0"/>
        <v>ddipl</v>
      </c>
    </row>
    <row r="22" spans="1:2" x14ac:dyDescent="0.2">
      <c r="A22" s="34" t="s">
        <v>102</v>
      </c>
      <c r="B22" s="34" t="str">
        <f t="shared" si="0"/>
        <v>dispplc</v>
      </c>
    </row>
    <row r="23" spans="1:2" x14ac:dyDescent="0.2">
      <c r="A23" s="34" t="s">
        <v>235</v>
      </c>
      <c r="B23" s="34" t="str">
        <f t="shared" si="0"/>
        <v>empnbh</v>
      </c>
    </row>
    <row r="24" spans="1:2" x14ac:dyDescent="0.2">
      <c r="A24" s="34" t="s">
        <v>91</v>
      </c>
      <c r="B24" s="34" t="str">
        <f t="shared" si="0"/>
        <v>hhc</v>
      </c>
    </row>
    <row r="25" spans="1:2" x14ac:dyDescent="0.2">
      <c r="A25" s="34" t="s">
        <v>147</v>
      </c>
      <c r="B25" s="34" t="str">
        <f t="shared" si="0"/>
        <v>hhc6</v>
      </c>
    </row>
    <row r="26" spans="1:2" x14ac:dyDescent="0.2">
      <c r="A26" s="38" t="s">
        <v>230</v>
      </c>
      <c r="B26" s="34" t="str">
        <f t="shared" si="0"/>
        <v>emp2nbh</v>
      </c>
    </row>
    <row r="27" spans="1:2" x14ac:dyDescent="0.2">
      <c r="A27" s="38" t="s">
        <v>233</v>
      </c>
      <c r="B27" s="34" t="str">
        <f t="shared" si="0"/>
        <v>emp3nbh</v>
      </c>
    </row>
    <row r="28" spans="1:2" x14ac:dyDescent="0.2">
      <c r="A28" s="34" t="s">
        <v>294</v>
      </c>
      <c r="B28" s="34" t="str">
        <f>LOWER(A28)</f>
        <v>totnbh</v>
      </c>
    </row>
    <row r="29" spans="1:2" x14ac:dyDescent="0.2">
      <c r="A29" s="34" t="s">
        <v>225</v>
      </c>
      <c r="B29" s="34" t="str">
        <f t="shared" si="0"/>
        <v>desc</v>
      </c>
    </row>
    <row r="30" spans="1:2" x14ac:dyDescent="0.2">
      <c r="A30" s="34" t="s">
        <v>249</v>
      </c>
      <c r="B30" s="34" t="str">
        <f t="shared" si="0"/>
        <v>nafemp2g004n</v>
      </c>
    </row>
    <row r="31" spans="1:2" x14ac:dyDescent="0.2">
      <c r="A31" s="34" t="s">
        <v>536</v>
      </c>
      <c r="B31" s="34" t="str">
        <f t="shared" si="0"/>
        <v>nafemp3g004n</v>
      </c>
    </row>
    <row r="32" spans="1:2" x14ac:dyDescent="0.2">
      <c r="A32" s="34" t="s">
        <v>350</v>
      </c>
      <c r="B32" s="34" t="str">
        <f>LOWER(A32)</f>
        <v>nbtemp</v>
      </c>
    </row>
    <row r="33" spans="1:2" x14ac:dyDescent="0.2">
      <c r="A33" s="34" t="s">
        <v>96</v>
      </c>
      <c r="B33" s="34" t="str">
        <f t="shared" si="0"/>
        <v>nbtot</v>
      </c>
    </row>
    <row r="34" spans="1:2" x14ac:dyDescent="0.2">
      <c r="A34" s="34" t="s">
        <v>28</v>
      </c>
      <c r="B34" s="34" t="str">
        <f t="shared" si="0"/>
        <v>plract</v>
      </c>
    </row>
    <row r="35" spans="1:2" x14ac:dyDescent="0.2">
      <c r="A35" s="34" t="s">
        <v>89</v>
      </c>
      <c r="B35" s="34" t="str">
        <f t="shared" ref="B35:B48" si="1">LOWER(A35)</f>
        <v>raistp</v>
      </c>
    </row>
    <row r="36" spans="1:2" x14ac:dyDescent="0.2">
      <c r="A36" s="34" t="s">
        <v>2</v>
      </c>
      <c r="B36" s="34" t="str">
        <f t="shared" si="1"/>
        <v>sexe</v>
      </c>
    </row>
    <row r="37" spans="1:2" x14ac:dyDescent="0.2">
      <c r="A37" s="34" t="s">
        <v>362</v>
      </c>
      <c r="B37" s="34" t="str">
        <f t="shared" si="1"/>
        <v>soua</v>
      </c>
    </row>
    <row r="38" spans="1:2" x14ac:dyDescent="0.2">
      <c r="A38" s="34" t="s">
        <v>11</v>
      </c>
      <c r="B38" s="34" t="str">
        <f t="shared" si="1"/>
        <v>soub</v>
      </c>
    </row>
    <row r="39" spans="1:2" x14ac:dyDescent="0.2">
      <c r="A39" s="34" t="s">
        <v>177</v>
      </c>
      <c r="B39" s="34" t="str">
        <f t="shared" si="1"/>
        <v>sousempl</v>
      </c>
    </row>
    <row r="40" spans="1:2" x14ac:dyDescent="0.2">
      <c r="A40" s="34" t="s">
        <v>284</v>
      </c>
      <c r="B40" s="34" t="str">
        <f t="shared" si="1"/>
        <v>stat2</v>
      </c>
    </row>
    <row r="41" spans="1:2" x14ac:dyDescent="0.2">
      <c r="A41" s="34" t="s">
        <v>281</v>
      </c>
      <c r="B41" s="34" t="str">
        <f t="shared" si="1"/>
        <v>statut</v>
      </c>
    </row>
    <row r="42" spans="1:2" x14ac:dyDescent="0.2">
      <c r="A42" s="34" t="s">
        <v>285</v>
      </c>
      <c r="B42" s="34" t="str">
        <f t="shared" si="1"/>
        <v>statuts2</v>
      </c>
    </row>
    <row r="43" spans="1:2" x14ac:dyDescent="0.2">
      <c r="A43" s="34" t="s">
        <v>521</v>
      </c>
      <c r="B43" s="34" t="str">
        <f t="shared" si="1"/>
        <v>statuts3</v>
      </c>
    </row>
    <row r="44" spans="1:2" x14ac:dyDescent="0.2">
      <c r="A44" s="34" t="s">
        <v>522</v>
      </c>
      <c r="B44" s="34" t="str">
        <f t="shared" si="1"/>
        <v>statuts4</v>
      </c>
    </row>
    <row r="45" spans="1:2" x14ac:dyDescent="0.2">
      <c r="A45" s="34" t="s">
        <v>537</v>
      </c>
      <c r="B45" s="34" t="str">
        <f t="shared" si="1"/>
        <v>stnredp</v>
      </c>
    </row>
    <row r="46" spans="1:2" x14ac:dyDescent="0.2">
      <c r="A46" s="34" t="s">
        <v>100</v>
      </c>
      <c r="B46" s="34" t="str">
        <f t="shared" si="1"/>
        <v>stplc</v>
      </c>
    </row>
    <row r="47" spans="1:2" x14ac:dyDescent="0.2">
      <c r="A47" s="34" t="s">
        <v>465</v>
      </c>
      <c r="B47" s="34" t="str">
        <f t="shared" si="1"/>
        <v>tppred</v>
      </c>
    </row>
    <row r="48" spans="1:2" x14ac:dyDescent="0.2">
      <c r="A48" s="34" t="s">
        <v>33</v>
      </c>
      <c r="B48" s="34" t="str">
        <f t="shared" si="1"/>
        <v>uneprof</v>
      </c>
    </row>
    <row r="49" spans="1:2" x14ac:dyDescent="0.2">
      <c r="A49" s="34" t="s">
        <v>525</v>
      </c>
      <c r="B49" s="34" t="str">
        <f t="shared" ref="B49:B51" si="2">LOWER(A49)</f>
        <v>noi</v>
      </c>
    </row>
    <row r="50" spans="1:2" x14ac:dyDescent="0.2">
      <c r="A50" s="34" t="s">
        <v>526</v>
      </c>
      <c r="B50" s="34" t="str">
        <f t="shared" si="2"/>
        <v>ident</v>
      </c>
    </row>
    <row r="51" spans="1:2" x14ac:dyDescent="0.2">
      <c r="A51" s="34" t="s">
        <v>527</v>
      </c>
      <c r="B51" s="34" t="str">
        <f t="shared" si="2"/>
        <v>trim</v>
      </c>
    </row>
    <row r="52" spans="1:2" x14ac:dyDescent="0.2">
      <c r="A52" s="34" t="s">
        <v>528</v>
      </c>
      <c r="B52" s="34" t="str">
        <f t="shared" ref="B52:B58" si="3">LOWER(A52)</f>
        <v>extri</v>
      </c>
    </row>
    <row r="53" spans="1:2" x14ac:dyDescent="0.2">
      <c r="A53" s="34" t="s">
        <v>36</v>
      </c>
      <c r="B53" s="34" t="str">
        <f t="shared" si="3"/>
        <v>stc</v>
      </c>
    </row>
    <row r="54" spans="1:2" x14ac:dyDescent="0.2">
      <c r="A54" s="34" t="s">
        <v>429</v>
      </c>
      <c r="B54" s="34" t="str">
        <f t="shared" si="3"/>
        <v>nafg004n</v>
      </c>
    </row>
    <row r="55" spans="1:2" x14ac:dyDescent="0.2">
      <c r="A55" s="34" t="s">
        <v>529</v>
      </c>
      <c r="B55" s="34" t="str">
        <f t="shared" si="3"/>
        <v>lnais</v>
      </c>
    </row>
    <row r="56" spans="1:2" x14ac:dyDescent="0.2">
      <c r="A56" s="34" t="s">
        <v>530</v>
      </c>
      <c r="B56" s="34" t="str">
        <f t="shared" si="3"/>
        <v>paimerc</v>
      </c>
    </row>
    <row r="57" spans="1:2" x14ac:dyDescent="0.2">
      <c r="A57" s="34" t="s">
        <v>531</v>
      </c>
      <c r="B57" s="34" t="str">
        <f t="shared" si="3"/>
        <v>paiperc</v>
      </c>
    </row>
    <row r="58" spans="1:2" x14ac:dyDescent="0.2">
      <c r="A58" s="34" t="s">
        <v>217</v>
      </c>
      <c r="B58" s="34" t="str">
        <f t="shared" si="3"/>
        <v>cser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FA996-4B78-B345-A36D-10E33DD378C3}">
  <sheetPr>
    <tabColor theme="9"/>
  </sheetPr>
  <dimension ref="A1:J46"/>
  <sheetViews>
    <sheetView topLeftCell="A48" workbookViewId="0">
      <selection activeCell="A32" sqref="A32"/>
    </sheetView>
  </sheetViews>
  <sheetFormatPr baseColWidth="10" defaultRowHeight="16" x14ac:dyDescent="0.2"/>
  <cols>
    <col min="1" max="1" width="15.6640625" bestFit="1" customWidth="1"/>
    <col min="2" max="2" width="15.33203125" customWidth="1"/>
    <col min="3" max="3" width="61.33203125" bestFit="1" customWidth="1"/>
    <col min="4" max="4" width="50.83203125" bestFit="1" customWidth="1"/>
    <col min="5" max="5" width="36.5" hidden="1" customWidth="1"/>
    <col min="6" max="6" width="69.83203125" customWidth="1"/>
    <col min="7" max="7" width="61.1640625" customWidth="1"/>
    <col min="8" max="8" width="15" customWidth="1"/>
    <col min="9" max="9" width="15.6640625" bestFit="1" customWidth="1"/>
  </cols>
  <sheetData>
    <row r="1" spans="1:10" x14ac:dyDescent="0.2">
      <c r="A1" s="9" t="s">
        <v>0</v>
      </c>
      <c r="B1" s="9" t="s">
        <v>467</v>
      </c>
      <c r="C1" s="9" t="s">
        <v>6</v>
      </c>
      <c r="D1" s="9" t="s">
        <v>122</v>
      </c>
      <c r="E1" s="9" t="s">
        <v>1</v>
      </c>
      <c r="F1" s="9" t="s">
        <v>3</v>
      </c>
      <c r="G1" s="9" t="s">
        <v>131</v>
      </c>
      <c r="H1" s="9" t="s">
        <v>188</v>
      </c>
    </row>
    <row r="2" spans="1:10" ht="17" x14ac:dyDescent="0.2">
      <c r="A2" s="19" t="s">
        <v>123</v>
      </c>
      <c r="B2" s="19" t="str">
        <f>LOWER(Table3[[#This Row],[Question Code]])</f>
        <v>acteu</v>
      </c>
      <c r="C2" s="19" t="s">
        <v>374</v>
      </c>
      <c r="D2" s="19" t="s">
        <v>125</v>
      </c>
      <c r="E2" s="19"/>
      <c r="F2" s="20" t="s">
        <v>410</v>
      </c>
      <c r="G2" s="21" t="s">
        <v>387</v>
      </c>
      <c r="H2" s="19" t="s">
        <v>244</v>
      </c>
      <c r="J2" s="5" t="s">
        <v>466</v>
      </c>
    </row>
    <row r="3" spans="1:10" x14ac:dyDescent="0.2">
      <c r="A3" s="14" t="s">
        <v>126</v>
      </c>
      <c r="B3" s="14" t="str">
        <f>LOWER(Table3[[#This Row],[Question Code]])</f>
        <v>age</v>
      </c>
      <c r="C3" s="14" t="s">
        <v>375</v>
      </c>
      <c r="D3" s="14" t="s">
        <v>115</v>
      </c>
      <c r="E3" s="14"/>
      <c r="F3" s="22"/>
      <c r="G3" s="21" t="s">
        <v>387</v>
      </c>
      <c r="H3" s="14" t="s">
        <v>244</v>
      </c>
    </row>
    <row r="4" spans="1:10" ht="34" x14ac:dyDescent="0.2">
      <c r="A4" s="19" t="s">
        <v>376</v>
      </c>
      <c r="B4" s="19" t="str">
        <f>LOWER(Table3[[#This Row],[Question Code]])</f>
        <v>apcs1_y</v>
      </c>
      <c r="C4" s="19" t="s">
        <v>377</v>
      </c>
      <c r="D4" s="19" t="s">
        <v>38</v>
      </c>
      <c r="E4" s="19"/>
      <c r="F4" s="20" t="s">
        <v>380</v>
      </c>
      <c r="G4" s="19" t="s">
        <v>379</v>
      </c>
      <c r="H4" s="19" t="s">
        <v>378</v>
      </c>
    </row>
    <row r="5" spans="1:10" ht="17" x14ac:dyDescent="0.2">
      <c r="A5" s="14" t="s">
        <v>381</v>
      </c>
      <c r="B5" s="14" t="str">
        <f>LOWER(Table3[[#This Row],[Question Code]])</f>
        <v>autoent2j_y</v>
      </c>
      <c r="C5" s="14" t="s">
        <v>382</v>
      </c>
      <c r="D5" s="14" t="s">
        <v>43</v>
      </c>
      <c r="E5" s="14"/>
      <c r="F5" s="22" t="s">
        <v>383</v>
      </c>
      <c r="G5" s="14" t="s">
        <v>379</v>
      </c>
      <c r="H5" s="14" t="s">
        <v>241</v>
      </c>
    </row>
    <row r="6" spans="1:10" ht="17" x14ac:dyDescent="0.2">
      <c r="A6" s="19" t="s">
        <v>384</v>
      </c>
      <c r="B6" s="19" t="str">
        <f>LOWER(Table3[[#This Row],[Question Code]])</f>
        <v>cdd/cdi</v>
      </c>
      <c r="C6" s="19" t="s">
        <v>385</v>
      </c>
      <c r="D6" s="19" t="s">
        <v>38</v>
      </c>
      <c r="E6" s="19"/>
      <c r="F6" s="20" t="s">
        <v>443</v>
      </c>
      <c r="G6" s="14" t="s">
        <v>379</v>
      </c>
      <c r="H6" s="14" t="s">
        <v>244</v>
      </c>
    </row>
    <row r="7" spans="1:10" ht="17" x14ac:dyDescent="0.2">
      <c r="A7" s="21" t="s">
        <v>129</v>
      </c>
      <c r="B7" s="21" t="str">
        <f>LOWER(Table3[[#This Row],[Question Code]])</f>
        <v>chpub</v>
      </c>
      <c r="C7" s="21" t="s">
        <v>386</v>
      </c>
      <c r="D7" s="21" t="s">
        <v>38</v>
      </c>
      <c r="E7" s="21"/>
      <c r="F7" s="23" t="s">
        <v>417</v>
      </c>
      <c r="G7" s="21" t="s">
        <v>387</v>
      </c>
      <c r="H7" s="21" t="s">
        <v>244</v>
      </c>
    </row>
    <row r="8" spans="1:10" ht="17" x14ac:dyDescent="0.2">
      <c r="A8" s="21" t="s">
        <v>388</v>
      </c>
      <c r="B8" s="21" t="str">
        <f>LOWER(Table3[[#This Row],[Question Code]])</f>
        <v>cl_emploi</v>
      </c>
      <c r="C8" s="21" t="s">
        <v>389</v>
      </c>
      <c r="D8" s="21" t="s">
        <v>39</v>
      </c>
      <c r="E8" s="21"/>
      <c r="F8" s="23" t="s">
        <v>442</v>
      </c>
      <c r="G8" s="14" t="s">
        <v>379</v>
      </c>
      <c r="H8" s="21" t="s">
        <v>244</v>
      </c>
    </row>
    <row r="9" spans="1:10" ht="17" x14ac:dyDescent="0.2">
      <c r="A9" s="21" t="s">
        <v>468</v>
      </c>
      <c r="B9" s="21" t="str">
        <f>LOWER(Table3[[#This Row],[Question Code]])</f>
        <v>dip7</v>
      </c>
      <c r="C9" s="21" t="s">
        <v>390</v>
      </c>
      <c r="D9" s="21" t="s">
        <v>112</v>
      </c>
      <c r="E9" s="21"/>
      <c r="F9" s="23" t="s">
        <v>391</v>
      </c>
      <c r="G9" s="21" t="s">
        <v>387</v>
      </c>
      <c r="H9" s="21" t="s">
        <v>244</v>
      </c>
    </row>
    <row r="10" spans="1:10" x14ac:dyDescent="0.2">
      <c r="A10" s="21" t="s">
        <v>102</v>
      </c>
      <c r="B10" s="21" t="str">
        <f>LOWER(Table3[[#This Row],[Question Code]])</f>
        <v>dispplc</v>
      </c>
      <c r="C10" s="21" t="s">
        <v>392</v>
      </c>
      <c r="D10" s="21" t="s">
        <v>103</v>
      </c>
      <c r="E10" s="21"/>
      <c r="F10" s="23"/>
      <c r="G10" s="21" t="s">
        <v>387</v>
      </c>
      <c r="H10" s="21" t="s">
        <v>244</v>
      </c>
    </row>
    <row r="11" spans="1:10" x14ac:dyDescent="0.2">
      <c r="A11" s="21" t="s">
        <v>393</v>
      </c>
      <c r="B11" s="21" t="str">
        <f>LOWER(Table3[[#This Row],[Question Code]])</f>
        <v>etatmatri_y</v>
      </c>
      <c r="C11" s="21" t="s">
        <v>394</v>
      </c>
      <c r="D11" s="21" t="s">
        <v>115</v>
      </c>
      <c r="E11" s="21"/>
      <c r="F11" s="23"/>
      <c r="G11" s="21" t="s">
        <v>379</v>
      </c>
      <c r="H11" s="21" t="s">
        <v>244</v>
      </c>
    </row>
    <row r="12" spans="1:10" ht="17" x14ac:dyDescent="0.2">
      <c r="A12" s="21" t="s">
        <v>395</v>
      </c>
      <c r="B12" s="21" t="str">
        <f>LOWER(Table3[[#This Row],[Question Code]])</f>
        <v>heffemp</v>
      </c>
      <c r="C12" s="21" t="s">
        <v>396</v>
      </c>
      <c r="D12" s="21" t="s">
        <v>87</v>
      </c>
      <c r="E12" s="21"/>
      <c r="F12" s="23" t="s">
        <v>400</v>
      </c>
      <c r="G12" s="21" t="s">
        <v>379</v>
      </c>
      <c r="H12" s="21" t="s">
        <v>244</v>
      </c>
    </row>
    <row r="13" spans="1:10" ht="34" x14ac:dyDescent="0.2">
      <c r="A13" s="21" t="s">
        <v>397</v>
      </c>
      <c r="B13" s="21" t="str">
        <f>LOWER(Table3[[#This Row],[Question Code]])</f>
        <v>heffempx</v>
      </c>
      <c r="C13" s="21" t="s">
        <v>399</v>
      </c>
      <c r="D13" s="21" t="s">
        <v>98</v>
      </c>
      <c r="E13" s="21"/>
      <c r="F13" s="23" t="s">
        <v>494</v>
      </c>
      <c r="G13" s="21" t="s">
        <v>379</v>
      </c>
      <c r="H13" s="21" t="s">
        <v>244</v>
      </c>
    </row>
    <row r="14" spans="1:10" ht="17" x14ac:dyDescent="0.2">
      <c r="A14" s="21" t="s">
        <v>401</v>
      </c>
      <c r="B14" s="21" t="str">
        <f>LOWER(Table3[[#This Row],[Question Code]])</f>
        <v>icsera_y</v>
      </c>
      <c r="C14" s="21" t="s">
        <v>402</v>
      </c>
      <c r="D14" s="21" t="s">
        <v>39</v>
      </c>
      <c r="E14" s="21"/>
      <c r="F14" s="23" t="s">
        <v>403</v>
      </c>
      <c r="G14" s="21" t="s">
        <v>379</v>
      </c>
      <c r="H14" s="21" t="s">
        <v>241</v>
      </c>
    </row>
    <row r="15" spans="1:10" x14ac:dyDescent="0.2">
      <c r="A15" s="21" t="s">
        <v>247</v>
      </c>
      <c r="B15" s="21" t="str">
        <f>LOWER(Table3[[#This Row],[Question Code]])</f>
        <v>immi</v>
      </c>
      <c r="C15" s="21" t="s">
        <v>404</v>
      </c>
      <c r="D15" s="21" t="s">
        <v>115</v>
      </c>
      <c r="E15" s="21"/>
      <c r="F15" s="23"/>
      <c r="G15" s="21" t="s">
        <v>387</v>
      </c>
      <c r="H15" s="21" t="s">
        <v>244</v>
      </c>
    </row>
    <row r="16" spans="1:10" ht="34" x14ac:dyDescent="0.2">
      <c r="A16" s="21" t="s">
        <v>405</v>
      </c>
      <c r="B16" s="21" t="str">
        <f>LOWER(Table3[[#This Row],[Question Code]])</f>
        <v>indtyp</v>
      </c>
      <c r="C16" s="21" t="s">
        <v>406</v>
      </c>
      <c r="D16" s="21" t="s">
        <v>39</v>
      </c>
      <c r="E16" s="21"/>
      <c r="F16" s="23" t="s">
        <v>407</v>
      </c>
      <c r="G16" s="21" t="s">
        <v>379</v>
      </c>
      <c r="H16" s="21" t="s">
        <v>244</v>
      </c>
    </row>
    <row r="17" spans="1:8" x14ac:dyDescent="0.2">
      <c r="A17" s="21" t="s">
        <v>408</v>
      </c>
      <c r="B17" s="21" t="str">
        <f>LOWER(Table3[[#This Row],[Question Code]])</f>
        <v>interim</v>
      </c>
      <c r="C17" s="21" t="s">
        <v>409</v>
      </c>
      <c r="D17" s="21" t="s">
        <v>38</v>
      </c>
      <c r="E17" s="21"/>
      <c r="F17" s="23"/>
      <c r="G17" s="24" t="s">
        <v>136</v>
      </c>
      <c r="H17" s="21" t="s">
        <v>244</v>
      </c>
    </row>
    <row r="18" spans="1:8" ht="17" x14ac:dyDescent="0.2">
      <c r="A18" s="21" t="s">
        <v>411</v>
      </c>
      <c r="B18" s="21" t="str">
        <f>LOWER(Table3[[#This Row],[Question Code]])</f>
        <v>lfs_ftpt</v>
      </c>
      <c r="C18" s="21" t="s">
        <v>412</v>
      </c>
      <c r="D18" s="21" t="s">
        <v>83</v>
      </c>
      <c r="E18" s="21"/>
      <c r="F18" s="23" t="s">
        <v>413</v>
      </c>
      <c r="G18" s="21" t="s">
        <v>379</v>
      </c>
      <c r="H18" s="21" t="s">
        <v>244</v>
      </c>
    </row>
    <row r="19" spans="1:8" ht="17" x14ac:dyDescent="0.2">
      <c r="A19" s="21" t="s">
        <v>414</v>
      </c>
      <c r="B19" s="21" t="str">
        <f>LOWER(Table3[[#This Row],[Question Code]])</f>
        <v>lfs_hwusual</v>
      </c>
      <c r="C19" s="21" t="s">
        <v>421</v>
      </c>
      <c r="D19" s="21" t="s">
        <v>87</v>
      </c>
      <c r="E19" s="21"/>
      <c r="F19" s="23" t="s">
        <v>415</v>
      </c>
      <c r="G19" s="21" t="s">
        <v>379</v>
      </c>
      <c r="H19" s="21" t="s">
        <v>244</v>
      </c>
    </row>
    <row r="20" spans="1:8" x14ac:dyDescent="0.2">
      <c r="A20" s="21" t="s">
        <v>495</v>
      </c>
      <c r="B20" s="21" t="str">
        <f>LOWER(Table3[[#This Row],[Question Code]])</f>
        <v>lfs_ilostat</v>
      </c>
      <c r="C20" s="21" t="s">
        <v>420</v>
      </c>
      <c r="D20" s="21" t="s">
        <v>125</v>
      </c>
      <c r="E20" s="21"/>
      <c r="F20" s="23"/>
      <c r="G20" s="21" t="s">
        <v>379</v>
      </c>
      <c r="H20" s="21" t="s">
        <v>244</v>
      </c>
    </row>
    <row r="21" spans="1:8" ht="17" x14ac:dyDescent="0.2">
      <c r="A21" s="21" t="s">
        <v>419</v>
      </c>
      <c r="B21" s="21" t="str">
        <f>LOWER(Table3[[#This Row],[Question Code]])</f>
        <v>nbemp</v>
      </c>
      <c r="C21" s="21" t="s">
        <v>416</v>
      </c>
      <c r="D21" s="21" t="s">
        <v>59</v>
      </c>
      <c r="E21" s="21"/>
      <c r="F21" s="23" t="s">
        <v>432</v>
      </c>
      <c r="G21" s="21" t="s">
        <v>387</v>
      </c>
      <c r="H21" s="21" t="s">
        <v>244</v>
      </c>
    </row>
    <row r="22" spans="1:8" x14ac:dyDescent="0.2">
      <c r="A22" s="21" t="s">
        <v>2</v>
      </c>
      <c r="B22" s="21" t="str">
        <f>LOWER(Table3[[#This Row],[Question Code]])</f>
        <v>sexe</v>
      </c>
      <c r="C22" s="21" t="s">
        <v>418</v>
      </c>
      <c r="D22" s="21" t="s">
        <v>30</v>
      </c>
      <c r="E22" s="21"/>
      <c r="F22" s="23"/>
      <c r="G22" s="21" t="s">
        <v>387</v>
      </c>
      <c r="H22" s="21" t="s">
        <v>244</v>
      </c>
    </row>
    <row r="23" spans="1:8" ht="17" x14ac:dyDescent="0.2">
      <c r="A23" s="21" t="s">
        <v>422</v>
      </c>
      <c r="B23" s="21" t="str">
        <f>LOWER(Table3[[#This Row],[Question Code]])</f>
        <v>lfs_stapro</v>
      </c>
      <c r="C23" s="21" t="s">
        <v>423</v>
      </c>
      <c r="D23" s="21" t="s">
        <v>39</v>
      </c>
      <c r="E23" s="21"/>
      <c r="F23" s="23" t="s">
        <v>424</v>
      </c>
      <c r="G23" s="21" t="s">
        <v>379</v>
      </c>
      <c r="H23" s="21" t="s">
        <v>244</v>
      </c>
    </row>
    <row r="24" spans="1:8" ht="17" x14ac:dyDescent="0.2">
      <c r="A24" s="21" t="s">
        <v>496</v>
      </c>
      <c r="B24" s="21" t="str">
        <f>LOWER(Table3[[#This Row],[Question Code]])</f>
        <v>lfs_wishmore</v>
      </c>
      <c r="C24" s="21" t="s">
        <v>101</v>
      </c>
      <c r="D24" s="21" t="s">
        <v>103</v>
      </c>
      <c r="E24" s="21"/>
      <c r="F24" s="23" t="s">
        <v>425</v>
      </c>
      <c r="G24" s="21" t="s">
        <v>379</v>
      </c>
      <c r="H24" s="21" t="s">
        <v>244</v>
      </c>
    </row>
    <row r="25" spans="1:8" x14ac:dyDescent="0.2">
      <c r="A25" s="21" t="s">
        <v>427</v>
      </c>
      <c r="B25" s="21" t="str">
        <f>LOWER(Table3[[#This Row],[Question Code]])</f>
        <v>nafemp2jg004n</v>
      </c>
      <c r="C25" s="21" t="s">
        <v>428</v>
      </c>
      <c r="D25" s="21" t="s">
        <v>61</v>
      </c>
      <c r="E25" s="21"/>
      <c r="F25" s="23"/>
      <c r="G25" s="21" t="s">
        <v>387</v>
      </c>
      <c r="H25" s="21" t="s">
        <v>244</v>
      </c>
    </row>
    <row r="26" spans="1:8" x14ac:dyDescent="0.2">
      <c r="A26" s="21" t="s">
        <v>429</v>
      </c>
      <c r="B26" s="21" t="str">
        <f>LOWER(Table3[[#This Row],[Question Code]])</f>
        <v>nafg004n</v>
      </c>
      <c r="C26" s="21" t="s">
        <v>426</v>
      </c>
      <c r="D26" s="21" t="s">
        <v>38</v>
      </c>
      <c r="E26" s="21"/>
      <c r="F26" s="23"/>
      <c r="G26" s="21" t="s">
        <v>387</v>
      </c>
      <c r="H26" s="21" t="s">
        <v>244</v>
      </c>
    </row>
    <row r="27" spans="1:8" x14ac:dyDescent="0.2">
      <c r="A27" s="21" t="s">
        <v>430</v>
      </c>
      <c r="B27" s="21" t="str">
        <f>LOWER(Table3[[#This Row],[Question Code]])</f>
        <v>natio</v>
      </c>
      <c r="C27" s="21" t="s">
        <v>431</v>
      </c>
      <c r="D27" s="21" t="s">
        <v>115</v>
      </c>
      <c r="E27" s="21"/>
      <c r="F27" s="23"/>
      <c r="G27" s="21" t="s">
        <v>387</v>
      </c>
      <c r="H27" s="21" t="s">
        <v>244</v>
      </c>
    </row>
    <row r="28" spans="1:8" x14ac:dyDescent="0.2">
      <c r="A28" s="21" t="s">
        <v>433</v>
      </c>
      <c r="B28" s="21" t="str">
        <f>LOWER(Table3[[#This Row],[Question Code]])</f>
        <v>pcsx</v>
      </c>
      <c r="C28" s="21" t="s">
        <v>434</v>
      </c>
      <c r="D28" s="21" t="s">
        <v>61</v>
      </c>
      <c r="E28" s="21"/>
      <c r="F28" s="23"/>
      <c r="G28" s="21" t="s">
        <v>387</v>
      </c>
      <c r="H28" s="21" t="s">
        <v>244</v>
      </c>
    </row>
    <row r="29" spans="1:8" ht="17" x14ac:dyDescent="0.2">
      <c r="A29" s="21" t="s">
        <v>435</v>
      </c>
      <c r="B29" s="21" t="str">
        <f>LOWER(Table3[[#This Row],[Question Code]])</f>
        <v>raisempsup4_y</v>
      </c>
      <c r="C29" s="21" t="s">
        <v>436</v>
      </c>
      <c r="D29" s="21" t="s">
        <v>103</v>
      </c>
      <c r="E29" s="21"/>
      <c r="F29" s="23" t="s">
        <v>437</v>
      </c>
      <c r="G29" s="21" t="s">
        <v>379</v>
      </c>
      <c r="H29" s="21" t="s">
        <v>241</v>
      </c>
    </row>
    <row r="30" spans="1:8" x14ac:dyDescent="0.2">
      <c r="A30" s="21" t="s">
        <v>438</v>
      </c>
      <c r="B30" s="21" t="str">
        <f>LOWER(Table3[[#This Row],[Question Code]])</f>
        <v>raisempsupp_y</v>
      </c>
      <c r="C30" s="21" t="s">
        <v>439</v>
      </c>
      <c r="D30" s="21" t="s">
        <v>18</v>
      </c>
      <c r="E30" s="21"/>
      <c r="F30" s="23"/>
      <c r="G30" s="21" t="s">
        <v>379</v>
      </c>
      <c r="H30" s="21" t="s">
        <v>241</v>
      </c>
    </row>
    <row r="31" spans="1:8" ht="17" x14ac:dyDescent="0.2">
      <c r="A31" s="21" t="s">
        <v>89</v>
      </c>
      <c r="B31" s="21" t="str">
        <f>LOWER(Table3[[#This Row],[Question Code]])</f>
        <v>raistp</v>
      </c>
      <c r="C31" s="21" t="s">
        <v>440</v>
      </c>
      <c r="D31" s="21" t="s">
        <v>103</v>
      </c>
      <c r="E31" s="21"/>
      <c r="F31" s="23" t="s">
        <v>441</v>
      </c>
      <c r="G31" s="21" t="s">
        <v>387</v>
      </c>
      <c r="H31" s="21" t="s">
        <v>244</v>
      </c>
    </row>
    <row r="32" spans="1:8" ht="17" x14ac:dyDescent="0.2">
      <c r="A32" s="21" t="s">
        <v>445</v>
      </c>
      <c r="B32" s="21" t="str">
        <f>LOWER(Table3[[#This Row],[Question Code]])</f>
        <v>souemp_y</v>
      </c>
      <c r="C32" s="21" t="s">
        <v>444</v>
      </c>
      <c r="D32" s="21" t="s">
        <v>13</v>
      </c>
      <c r="E32" s="21"/>
      <c r="F32" s="23" t="s">
        <v>403</v>
      </c>
      <c r="G32" s="21" t="s">
        <v>379</v>
      </c>
      <c r="H32" s="21" t="s">
        <v>241</v>
      </c>
    </row>
    <row r="33" spans="1:8" ht="17" x14ac:dyDescent="0.2">
      <c r="A33" s="21" t="s">
        <v>177</v>
      </c>
      <c r="B33" s="21" t="str">
        <f>LOWER(Table3[[#This Row],[Question Code]])</f>
        <v>sousempl</v>
      </c>
      <c r="C33" s="21" t="s">
        <v>447</v>
      </c>
      <c r="D33" s="21" t="s">
        <v>103</v>
      </c>
      <c r="E33" s="21"/>
      <c r="F33" s="23" t="s">
        <v>446</v>
      </c>
      <c r="G33" s="21" t="s">
        <v>387</v>
      </c>
      <c r="H33" s="21" t="s">
        <v>244</v>
      </c>
    </row>
    <row r="34" spans="1:8" ht="17" x14ac:dyDescent="0.2">
      <c r="A34" s="21" t="s">
        <v>281</v>
      </c>
      <c r="B34" s="21" t="str">
        <f>LOWER(Table3[[#This Row],[Question Code]])</f>
        <v>statut</v>
      </c>
      <c r="C34" s="21" t="s">
        <v>448</v>
      </c>
      <c r="D34" s="21" t="s">
        <v>39</v>
      </c>
      <c r="E34" s="21"/>
      <c r="F34" s="23" t="s">
        <v>454</v>
      </c>
      <c r="G34" s="21" t="s">
        <v>387</v>
      </c>
      <c r="H34" s="21" t="s">
        <v>244</v>
      </c>
    </row>
    <row r="35" spans="1:8" ht="17" x14ac:dyDescent="0.2">
      <c r="A35" s="21" t="s">
        <v>449</v>
      </c>
      <c r="B35" s="21" t="str">
        <f>LOWER(Table3[[#This Row],[Question Code]])</f>
        <v>statut2j</v>
      </c>
      <c r="C35" s="21" t="s">
        <v>450</v>
      </c>
      <c r="D35" s="21" t="s">
        <v>62</v>
      </c>
      <c r="E35" s="21"/>
      <c r="F35" s="23" t="s">
        <v>398</v>
      </c>
      <c r="G35" s="21" t="s">
        <v>387</v>
      </c>
      <c r="H35" s="21" t="s">
        <v>244</v>
      </c>
    </row>
    <row r="36" spans="1:8" ht="17" x14ac:dyDescent="0.2">
      <c r="A36" s="21" t="s">
        <v>451</v>
      </c>
      <c r="B36" s="21" t="str">
        <f>LOWER(Table3[[#This Row],[Question Code]])</f>
        <v>statutdet</v>
      </c>
      <c r="C36" s="21" t="s">
        <v>452</v>
      </c>
      <c r="D36" s="21" t="s">
        <v>38</v>
      </c>
      <c r="E36" s="21"/>
      <c r="F36" s="23" t="s">
        <v>453</v>
      </c>
      <c r="G36" s="21" t="s">
        <v>379</v>
      </c>
      <c r="H36" s="21" t="s">
        <v>244</v>
      </c>
    </row>
    <row r="37" spans="1:8" x14ac:dyDescent="0.2">
      <c r="A37" s="21" t="s">
        <v>36</v>
      </c>
      <c r="B37" s="21" t="str">
        <f>LOWER(Table3[[#This Row],[Question Code]])</f>
        <v>stc</v>
      </c>
      <c r="C37" s="21" t="s">
        <v>423</v>
      </c>
      <c r="D37" s="21" t="s">
        <v>39</v>
      </c>
      <c r="E37" s="21"/>
      <c r="F37" s="23"/>
      <c r="G37" s="21" t="s">
        <v>387</v>
      </c>
      <c r="H37" s="21" t="s">
        <v>244</v>
      </c>
    </row>
    <row r="38" spans="1:8" ht="17" x14ac:dyDescent="0.2">
      <c r="A38" s="21" t="s">
        <v>455</v>
      </c>
      <c r="B38" s="21" t="str">
        <f>LOWER(Table3[[#This Row],[Question Code]])</f>
        <v>stch_y</v>
      </c>
      <c r="C38" s="21" t="s">
        <v>456</v>
      </c>
      <c r="D38" s="21" t="s">
        <v>23</v>
      </c>
      <c r="E38" s="21"/>
      <c r="F38" s="23" t="s">
        <v>457</v>
      </c>
      <c r="G38" s="21" t="s">
        <v>387</v>
      </c>
      <c r="H38" s="21" t="s">
        <v>241</v>
      </c>
    </row>
    <row r="39" spans="1:8" x14ac:dyDescent="0.2">
      <c r="A39" s="21" t="s">
        <v>458</v>
      </c>
      <c r="B39" s="21" t="str">
        <f>LOWER(Table3[[#This Row],[Question Code]])</f>
        <v>stcpub2j</v>
      </c>
      <c r="C39" s="21" t="s">
        <v>459</v>
      </c>
      <c r="D39" s="21" t="s">
        <v>61</v>
      </c>
      <c r="E39" s="21"/>
      <c r="F39" s="23"/>
      <c r="G39" s="21" t="s">
        <v>387</v>
      </c>
      <c r="H39" s="21" t="s">
        <v>244</v>
      </c>
    </row>
    <row r="40" spans="1:8" x14ac:dyDescent="0.2">
      <c r="A40" s="21" t="s">
        <v>460</v>
      </c>
      <c r="B40" s="21" t="str">
        <f>LOWER(Table3[[#This Row],[Question Code]])</f>
        <v>stpm_y</v>
      </c>
      <c r="C40" s="21" t="s">
        <v>461</v>
      </c>
      <c r="D40" s="21" t="s">
        <v>103</v>
      </c>
      <c r="E40" s="21"/>
      <c r="F40" s="23"/>
      <c r="G40" s="24" t="s">
        <v>136</v>
      </c>
      <c r="H40" s="21" t="s">
        <v>241</v>
      </c>
    </row>
    <row r="41" spans="1:8" ht="17" x14ac:dyDescent="0.2">
      <c r="A41" s="21" t="s">
        <v>462</v>
      </c>
      <c r="B41" s="21" t="str">
        <f>LOWER(Table3[[#This Row],[Question Code]])</f>
        <v>tam1b</v>
      </c>
      <c r="C41" s="21" t="s">
        <v>463</v>
      </c>
      <c r="D41" s="21" t="s">
        <v>43</v>
      </c>
      <c r="E41" s="21"/>
      <c r="F41" s="23" t="s">
        <v>464</v>
      </c>
      <c r="G41" s="21" t="s">
        <v>387</v>
      </c>
      <c r="H41" s="21" t="s">
        <v>244</v>
      </c>
    </row>
    <row r="42" spans="1:8" x14ac:dyDescent="0.2">
      <c r="A42" s="21" t="s">
        <v>465</v>
      </c>
      <c r="B42" s="21" t="str">
        <f>LOWER(Table3[[#This Row],[Question Code]])</f>
        <v>tppred</v>
      </c>
      <c r="C42" s="21" t="s">
        <v>412</v>
      </c>
      <c r="D42" s="21" t="s">
        <v>83</v>
      </c>
      <c r="E42" s="21"/>
      <c r="F42" s="23"/>
      <c r="G42" s="21" t="s">
        <v>387</v>
      </c>
      <c r="H42" s="21" t="s">
        <v>244</v>
      </c>
    </row>
    <row r="46" spans="1:8" x14ac:dyDescent="0.2">
      <c r="C46" s="5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1B6310-F6E5-A841-BB36-A7C136A19706}">
          <x14:formula1>
            <xm:f>Lists!$B$4:$B$25</xm:f>
          </x14:formula1>
          <xm:sqref>E19 D2:D42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B0463-5EF9-2144-8CC3-1FF76462DC13}">
  <sheetPr>
    <tabColor theme="9"/>
  </sheetPr>
  <dimension ref="A1:I43"/>
  <sheetViews>
    <sheetView topLeftCell="A3" zoomScale="91" zoomScaleNormal="90" workbookViewId="0">
      <selection activeCell="A35" sqref="A35"/>
    </sheetView>
  </sheetViews>
  <sheetFormatPr baseColWidth="10" defaultRowHeight="16" x14ac:dyDescent="0.2"/>
  <cols>
    <col min="1" max="1" width="16.1640625" bestFit="1" customWidth="1"/>
    <col min="3" max="4" width="57.33203125" bestFit="1" customWidth="1"/>
    <col min="5" max="5" width="60.33203125" customWidth="1"/>
    <col min="6" max="6" width="16.33203125" customWidth="1"/>
    <col min="7" max="7" width="76.1640625" bestFit="1" customWidth="1"/>
  </cols>
  <sheetData>
    <row r="1" spans="1:9" x14ac:dyDescent="0.2">
      <c r="A1" t="s">
        <v>0</v>
      </c>
      <c r="B1" s="9" t="s">
        <v>467</v>
      </c>
      <c r="C1" t="s">
        <v>6</v>
      </c>
      <c r="D1" t="s">
        <v>122</v>
      </c>
      <c r="E1" t="s">
        <v>3</v>
      </c>
      <c r="F1" t="s">
        <v>188</v>
      </c>
      <c r="G1" t="s">
        <v>469</v>
      </c>
    </row>
    <row r="2" spans="1:9" x14ac:dyDescent="0.2">
      <c r="A2" s="10" t="s">
        <v>2</v>
      </c>
      <c r="B2" s="14" t="str">
        <f>LOWER(Table1[[#This Row],[Question Code]])</f>
        <v>sexe</v>
      </c>
      <c r="C2" s="10" t="s">
        <v>31</v>
      </c>
      <c r="D2" s="10" t="s">
        <v>30</v>
      </c>
      <c r="E2" s="11"/>
      <c r="F2" s="10" t="s">
        <v>244</v>
      </c>
      <c r="G2" s="10"/>
      <c r="I2" s="5" t="s">
        <v>484</v>
      </c>
    </row>
    <row r="3" spans="1:9" ht="17" x14ac:dyDescent="0.2">
      <c r="A3" s="10" t="s">
        <v>5</v>
      </c>
      <c r="B3" s="10" t="str">
        <f>LOWER(Table1[[#This Row],[Question Code]])</f>
        <v>traref</v>
      </c>
      <c r="C3" s="10" t="s">
        <v>7</v>
      </c>
      <c r="D3" s="10" t="s">
        <v>125</v>
      </c>
      <c r="E3" s="11" t="s">
        <v>4</v>
      </c>
      <c r="F3" s="10" t="s">
        <v>244</v>
      </c>
      <c r="G3" s="10"/>
      <c r="I3" s="5" t="s">
        <v>485</v>
      </c>
    </row>
    <row r="4" spans="1:9" x14ac:dyDescent="0.2">
      <c r="A4" s="10" t="s">
        <v>9</v>
      </c>
      <c r="B4" s="10" t="str">
        <f>LOWER(Table1[[#This Row],[Question Code]])</f>
        <v xml:space="preserve">pastra </v>
      </c>
      <c r="C4" s="10" t="s">
        <v>10</v>
      </c>
      <c r="D4" s="10" t="s">
        <v>125</v>
      </c>
      <c r="E4" s="11"/>
      <c r="F4" s="10" t="s">
        <v>244</v>
      </c>
      <c r="G4" s="10"/>
    </row>
    <row r="5" spans="1:9" ht="17" x14ac:dyDescent="0.2">
      <c r="A5" s="10" t="s">
        <v>11</v>
      </c>
      <c r="B5" s="10" t="str">
        <f>LOWER(Table1[[#This Row],[Question Code]])</f>
        <v>soub</v>
      </c>
      <c r="C5" s="10" t="s">
        <v>12</v>
      </c>
      <c r="D5" s="10" t="s">
        <v>13</v>
      </c>
      <c r="E5" s="11" t="s">
        <v>14</v>
      </c>
      <c r="F5" s="10" t="s">
        <v>244</v>
      </c>
      <c r="G5" s="10"/>
    </row>
    <row r="6" spans="1:9" ht="34" x14ac:dyDescent="0.2">
      <c r="A6" s="10" t="s">
        <v>16</v>
      </c>
      <c r="B6" s="10" t="str">
        <f>LOWER(Table1[[#This Row],[Question Code]])</f>
        <v>creacc</v>
      </c>
      <c r="C6" s="10" t="s">
        <v>17</v>
      </c>
      <c r="D6" s="10" t="s">
        <v>18</v>
      </c>
      <c r="E6" s="11" t="s">
        <v>15</v>
      </c>
      <c r="F6" s="10" t="s">
        <v>244</v>
      </c>
      <c r="G6" s="10"/>
    </row>
    <row r="7" spans="1:9" ht="34" x14ac:dyDescent="0.2">
      <c r="A7" s="10" t="s">
        <v>19</v>
      </c>
      <c r="B7" s="10" t="str">
        <f>LOWER(Table1[[#This Row],[Question Code]])</f>
        <v>creaccp</v>
      </c>
      <c r="C7" s="10" t="s">
        <v>20</v>
      </c>
      <c r="D7" s="10" t="s">
        <v>18</v>
      </c>
      <c r="E7" s="11" t="s">
        <v>15</v>
      </c>
      <c r="F7" s="10" t="s">
        <v>244</v>
      </c>
      <c r="G7" s="10"/>
    </row>
    <row r="8" spans="1:9" ht="34" x14ac:dyDescent="0.2">
      <c r="A8" s="10" t="s">
        <v>21</v>
      </c>
      <c r="B8" s="10" t="str">
        <f>LOWER(Table1[[#This Row],[Question Code]])</f>
        <v>stche</v>
      </c>
      <c r="C8" s="10" t="s">
        <v>22</v>
      </c>
      <c r="D8" s="10" t="s">
        <v>23</v>
      </c>
      <c r="E8" s="11" t="s">
        <v>15</v>
      </c>
      <c r="F8" s="10" t="s">
        <v>244</v>
      </c>
      <c r="G8" s="10"/>
    </row>
    <row r="9" spans="1:9" ht="34" x14ac:dyDescent="0.2">
      <c r="A9" s="10" t="s">
        <v>24</v>
      </c>
      <c r="B9" s="10" t="str">
        <f>LOWER(Table1[[#This Row],[Question Code]])</f>
        <v>nrec</v>
      </c>
      <c r="C9" s="10" t="s">
        <v>22</v>
      </c>
      <c r="D9" s="10" t="s">
        <v>23</v>
      </c>
      <c r="E9" s="11" t="s">
        <v>27</v>
      </c>
      <c r="F9" s="10" t="s">
        <v>244</v>
      </c>
      <c r="G9" s="10"/>
    </row>
    <row r="10" spans="1:9" ht="34" x14ac:dyDescent="0.2">
      <c r="A10" s="10" t="s">
        <v>25</v>
      </c>
      <c r="B10" s="10" t="str">
        <f>LOWER(Table1[[#This Row],[Question Code]])</f>
        <v>hrec</v>
      </c>
      <c r="C10" s="10" t="s">
        <v>26</v>
      </c>
      <c r="D10" s="10" t="s">
        <v>103</v>
      </c>
      <c r="E10" s="11" t="s">
        <v>15</v>
      </c>
      <c r="F10" s="10" t="s">
        <v>244</v>
      </c>
      <c r="G10" s="10"/>
    </row>
    <row r="11" spans="1:9" ht="34" x14ac:dyDescent="0.2">
      <c r="A11" s="10" t="s">
        <v>28</v>
      </c>
      <c r="B11" s="10" t="str">
        <f>LOWER(Table1[[#This Row],[Question Code]])</f>
        <v>plract</v>
      </c>
      <c r="C11" s="10" t="s">
        <v>29</v>
      </c>
      <c r="D11" s="10" t="s">
        <v>59</v>
      </c>
      <c r="E11" s="11" t="s">
        <v>32</v>
      </c>
      <c r="F11" s="10" t="s">
        <v>244</v>
      </c>
      <c r="G11" s="10"/>
    </row>
    <row r="12" spans="1:9" ht="17" x14ac:dyDescent="0.2">
      <c r="A12" s="10" t="s">
        <v>33</v>
      </c>
      <c r="B12" s="10" t="str">
        <f>LOWER(Table1[[#This Row],[Question Code]])</f>
        <v>uneprof</v>
      </c>
      <c r="C12" s="10" t="s">
        <v>34</v>
      </c>
      <c r="D12" s="10" t="s">
        <v>59</v>
      </c>
      <c r="E12" s="11" t="s">
        <v>35</v>
      </c>
      <c r="F12" s="10" t="s">
        <v>244</v>
      </c>
      <c r="G12" s="10"/>
    </row>
    <row r="13" spans="1:9" x14ac:dyDescent="0.2">
      <c r="A13" s="10" t="s">
        <v>153</v>
      </c>
      <c r="B13" s="10" t="str">
        <f>LOWER(Table1[[#This Row],[Question Code]])</f>
        <v>nafg004un</v>
      </c>
      <c r="C13" s="10" t="s">
        <v>426</v>
      </c>
      <c r="D13" s="10" t="s">
        <v>38</v>
      </c>
      <c r="E13" s="11"/>
      <c r="F13" s="10" t="s">
        <v>244</v>
      </c>
      <c r="G13" s="10" t="s">
        <v>470</v>
      </c>
    </row>
    <row r="14" spans="1:9" ht="34" x14ac:dyDescent="0.2">
      <c r="A14" s="10" t="s">
        <v>36</v>
      </c>
      <c r="B14" s="10" t="str">
        <f>LOWER(Table1[[#This Row],[Question Code]])</f>
        <v>stc</v>
      </c>
      <c r="C14" s="10" t="s">
        <v>37</v>
      </c>
      <c r="D14" s="10" t="s">
        <v>39</v>
      </c>
      <c r="E14" s="11" t="s">
        <v>40</v>
      </c>
      <c r="F14" s="10" t="s">
        <v>244</v>
      </c>
      <c r="G14" s="10"/>
    </row>
    <row r="15" spans="1:9" ht="17" x14ac:dyDescent="0.2">
      <c r="A15" s="10" t="s">
        <v>41</v>
      </c>
      <c r="B15" s="10" t="str">
        <f>LOWER(Table1[[#This Row],[Question Code]])</f>
        <v>autoent</v>
      </c>
      <c r="C15" s="10" t="s">
        <v>42</v>
      </c>
      <c r="D15" s="10" t="s">
        <v>43</v>
      </c>
      <c r="E15" s="11" t="s">
        <v>44</v>
      </c>
      <c r="F15" s="10" t="s">
        <v>244</v>
      </c>
      <c r="G15" s="10"/>
    </row>
    <row r="16" spans="1:9" ht="17" x14ac:dyDescent="0.2">
      <c r="A16" s="15" t="s">
        <v>350</v>
      </c>
      <c r="B16" s="15" t="str">
        <f>LOWER(Table1[[#This Row],[Question Code]])</f>
        <v>nbtemp</v>
      </c>
      <c r="C16" s="15" t="s">
        <v>47</v>
      </c>
      <c r="D16" s="15" t="s">
        <v>472</v>
      </c>
      <c r="E16" s="16" t="s">
        <v>45</v>
      </c>
      <c r="F16" s="15" t="s">
        <v>244</v>
      </c>
      <c r="G16" s="15" t="s">
        <v>471</v>
      </c>
    </row>
    <row r="17" spans="1:7" ht="17" x14ac:dyDescent="0.2">
      <c r="A17" s="10" t="s">
        <v>300</v>
      </c>
      <c r="B17" s="10" t="str">
        <f>LOWER(Table1[[#This Row],[Question Code]])</f>
        <v>am1nb</v>
      </c>
      <c r="C17" s="10" t="s">
        <v>473</v>
      </c>
      <c r="D17" s="10" t="s">
        <v>472</v>
      </c>
      <c r="E17" s="11" t="s">
        <v>49</v>
      </c>
      <c r="F17" s="10" t="s">
        <v>244</v>
      </c>
      <c r="G17" s="10"/>
    </row>
    <row r="18" spans="1:7" ht="17" x14ac:dyDescent="0.2">
      <c r="A18" s="17" t="s">
        <v>63</v>
      </c>
      <c r="B18" s="17" t="str">
        <f>LOWER(Table1[[#This Row],[Question Code]])</f>
        <v>qprcr</v>
      </c>
      <c r="C18" s="17" t="s">
        <v>476</v>
      </c>
      <c r="D18" s="17" t="s">
        <v>38</v>
      </c>
      <c r="E18" s="18" t="s">
        <v>50</v>
      </c>
      <c r="F18" s="17" t="s">
        <v>244</v>
      </c>
      <c r="G18" s="17" t="s">
        <v>482</v>
      </c>
    </row>
    <row r="19" spans="1:7" ht="51" x14ac:dyDescent="0.2">
      <c r="A19" s="10" t="s">
        <v>64</v>
      </c>
      <c r="B19" s="10" t="str">
        <f>LOWER(Table1[[#This Row],[Question Code]])</f>
        <v>chpubx</v>
      </c>
      <c r="C19" s="10" t="s">
        <v>51</v>
      </c>
      <c r="D19" s="10" t="s">
        <v>61</v>
      </c>
      <c r="E19" s="11" t="s">
        <v>65</v>
      </c>
      <c r="F19" s="10" t="s">
        <v>244</v>
      </c>
      <c r="G19" s="10"/>
    </row>
    <row r="20" spans="1:7" ht="34" x14ac:dyDescent="0.2">
      <c r="A20" s="10" t="s">
        <v>66</v>
      </c>
      <c r="B20" s="10" t="str">
        <f>LOWER(Table1[[#This Row],[Question Code]])</f>
        <v>confautsal</v>
      </c>
      <c r="C20" s="10" t="s">
        <v>52</v>
      </c>
      <c r="D20" s="10" t="s">
        <v>55</v>
      </c>
      <c r="E20" s="11" t="s">
        <v>56</v>
      </c>
      <c r="F20" s="10" t="s">
        <v>244</v>
      </c>
      <c r="G20" s="10"/>
    </row>
    <row r="21" spans="1:7" ht="34" x14ac:dyDescent="0.2">
      <c r="A21" s="10" t="s">
        <v>67</v>
      </c>
      <c r="B21" s="10" t="str">
        <f>LOWER(Table1[[#This Row],[Question Code]])</f>
        <v>autsal</v>
      </c>
      <c r="C21" s="10" t="s">
        <v>53</v>
      </c>
      <c r="D21" s="10" t="s">
        <v>54</v>
      </c>
      <c r="E21" s="11" t="s">
        <v>57</v>
      </c>
      <c r="F21" s="10" t="s">
        <v>244</v>
      </c>
      <c r="G21" s="10"/>
    </row>
    <row r="22" spans="1:7" ht="17" x14ac:dyDescent="0.2">
      <c r="A22" s="10" t="s">
        <v>68</v>
      </c>
      <c r="B22" s="10" t="str">
        <f>LOWER(Table1[[#This Row],[Question Code]])</f>
        <v>am2nb</v>
      </c>
      <c r="C22" s="10" t="s">
        <v>58</v>
      </c>
      <c r="D22" s="10" t="s">
        <v>59</v>
      </c>
      <c r="E22" s="11" t="s">
        <v>60</v>
      </c>
      <c r="F22" s="10" t="s">
        <v>244</v>
      </c>
      <c r="G22" s="10"/>
    </row>
    <row r="23" spans="1:7" x14ac:dyDescent="0.2">
      <c r="A23" s="15" t="s">
        <v>486</v>
      </c>
      <c r="B23" s="15" t="str">
        <f>LOWER(Table1[[#This Row],[Question Code]])</f>
        <v>sstcx*</v>
      </c>
      <c r="C23" s="15" t="s">
        <v>474</v>
      </c>
      <c r="D23" s="15" t="s">
        <v>62</v>
      </c>
      <c r="E23" s="16"/>
      <c r="F23" s="15" t="s">
        <v>244</v>
      </c>
      <c r="G23" s="15" t="s">
        <v>481</v>
      </c>
    </row>
    <row r="24" spans="1:7" ht="17" x14ac:dyDescent="0.2">
      <c r="A24" s="15" t="s">
        <v>487</v>
      </c>
      <c r="B24" s="15" t="str">
        <f>LOWER(Table1[[#This Row],[Question Code]])</f>
        <v>schpubx*</v>
      </c>
      <c r="C24" s="15" t="s">
        <v>475</v>
      </c>
      <c r="D24" s="15" t="s">
        <v>61</v>
      </c>
      <c r="E24" s="16" t="s">
        <v>477</v>
      </c>
      <c r="F24" s="15" t="s">
        <v>244</v>
      </c>
      <c r="G24" s="15" t="s">
        <v>479</v>
      </c>
    </row>
    <row r="25" spans="1:7" ht="17" x14ac:dyDescent="0.2">
      <c r="A25" s="15" t="s">
        <v>488</v>
      </c>
      <c r="B25" s="15" t="str">
        <f>LOWER(Table1[[#This Row],[Question Code]])</f>
        <v>autoentx*</v>
      </c>
      <c r="C25" s="15" t="s">
        <v>69</v>
      </c>
      <c r="D25" s="15" t="s">
        <v>43</v>
      </c>
      <c r="E25" s="16" t="s">
        <v>478</v>
      </c>
      <c r="F25" s="15" t="s">
        <v>244</v>
      </c>
      <c r="G25" s="15" t="s">
        <v>479</v>
      </c>
    </row>
    <row r="26" spans="1:7" ht="17" x14ac:dyDescent="0.2">
      <c r="A26" s="10" t="s">
        <v>70</v>
      </c>
      <c r="B26" s="10" t="str">
        <f>LOWER(Table1[[#This Row],[Question Code]])</f>
        <v>contra</v>
      </c>
      <c r="C26" s="10" t="s">
        <v>71</v>
      </c>
      <c r="D26" s="10" t="s">
        <v>8</v>
      </c>
      <c r="E26" s="11" t="s">
        <v>72</v>
      </c>
      <c r="F26" s="10" t="s">
        <v>244</v>
      </c>
      <c r="G26" s="10"/>
    </row>
    <row r="27" spans="1:7" ht="17" x14ac:dyDescent="0.2">
      <c r="A27" s="17" t="s">
        <v>73</v>
      </c>
      <c r="B27" s="17" t="str">
        <f>LOWER(Table1[[#This Row],[Question Code]])</f>
        <v>reint</v>
      </c>
      <c r="C27" s="17" t="s">
        <v>77</v>
      </c>
      <c r="D27" s="17" t="s">
        <v>74</v>
      </c>
      <c r="E27" s="18" t="s">
        <v>79</v>
      </c>
      <c r="F27" s="17" t="s">
        <v>244</v>
      </c>
      <c r="G27" s="17" t="s">
        <v>480</v>
      </c>
    </row>
    <row r="28" spans="1:7" ht="17" x14ac:dyDescent="0.2">
      <c r="A28" s="10" t="s">
        <v>75</v>
      </c>
      <c r="B28" s="10" t="str">
        <f>LOWER(Table1[[#This Row],[Question Code]])</f>
        <v>apobar</v>
      </c>
      <c r="C28" s="10" t="s">
        <v>76</v>
      </c>
      <c r="D28" s="10" t="s">
        <v>78</v>
      </c>
      <c r="E28" s="11" t="s">
        <v>79</v>
      </c>
      <c r="F28" s="10" t="s">
        <v>244</v>
      </c>
      <c r="G28" s="10"/>
    </row>
    <row r="29" spans="1:7" ht="17" x14ac:dyDescent="0.2">
      <c r="A29" s="10" t="s">
        <v>483</v>
      </c>
      <c r="B29" s="10" t="str">
        <f>LOWER(Table1[[#This Row],[Question Code]])</f>
        <v>tppok</v>
      </c>
      <c r="C29" s="10" t="s">
        <v>82</v>
      </c>
      <c r="D29" s="10" t="s">
        <v>83</v>
      </c>
      <c r="E29" s="11" t="s">
        <v>80</v>
      </c>
      <c r="F29" s="10" t="s">
        <v>244</v>
      </c>
      <c r="G29" s="10"/>
    </row>
    <row r="30" spans="1:7" x14ac:dyDescent="0.2">
      <c r="A30" s="10" t="s">
        <v>81</v>
      </c>
      <c r="B30" s="10" t="str">
        <f>LOWER(Table1[[#This Row],[Question Code]])</f>
        <v>tpp</v>
      </c>
      <c r="C30" s="10" t="s">
        <v>84</v>
      </c>
      <c r="D30" s="10" t="s">
        <v>83</v>
      </c>
      <c r="E30" s="11"/>
      <c r="F30" s="10" t="s">
        <v>244</v>
      </c>
      <c r="G30" s="10"/>
    </row>
    <row r="31" spans="1:7" x14ac:dyDescent="0.2">
      <c r="A31" s="10" t="s">
        <v>86</v>
      </c>
      <c r="B31" s="10" t="str">
        <f>LOWER(Table1[[#This Row],[Question Code]])</f>
        <v>txtpp</v>
      </c>
      <c r="C31" s="10" t="s">
        <v>85</v>
      </c>
      <c r="D31" s="10" t="s">
        <v>87</v>
      </c>
      <c r="E31" s="11"/>
      <c r="F31" s="10" t="s">
        <v>244</v>
      </c>
      <c r="G31" s="10"/>
    </row>
    <row r="32" spans="1:7" ht="17" x14ac:dyDescent="0.2">
      <c r="A32" s="10" t="s">
        <v>89</v>
      </c>
      <c r="B32" s="10" t="str">
        <f>LOWER(Table1[[#This Row],[Question Code]])</f>
        <v>raistp</v>
      </c>
      <c r="C32" s="10" t="s">
        <v>88</v>
      </c>
      <c r="D32" s="10" t="s">
        <v>83</v>
      </c>
      <c r="E32" s="11" t="s">
        <v>90</v>
      </c>
      <c r="F32" s="10" t="s">
        <v>244</v>
      </c>
      <c r="G32" s="10"/>
    </row>
    <row r="33" spans="1:7" x14ac:dyDescent="0.2">
      <c r="A33" s="10" t="s">
        <v>91</v>
      </c>
      <c r="B33" s="10" t="str">
        <f>LOWER(Table1[[#This Row],[Question Code]])</f>
        <v>hhc</v>
      </c>
      <c r="C33" s="10" t="s">
        <v>94</v>
      </c>
      <c r="D33" s="10" t="s">
        <v>87</v>
      </c>
      <c r="E33" s="11"/>
      <c r="F33" s="10" t="s">
        <v>244</v>
      </c>
      <c r="G33" s="10"/>
    </row>
    <row r="34" spans="1:7" ht="17" x14ac:dyDescent="0.2">
      <c r="A34" s="10" t="s">
        <v>93</v>
      </c>
      <c r="B34" s="10" t="str">
        <f>LOWER(Table1[[#This Row],[Question Code]])</f>
        <v>hhchsup</v>
      </c>
      <c r="C34" s="10" t="s">
        <v>95</v>
      </c>
      <c r="D34" s="10" t="s">
        <v>87</v>
      </c>
      <c r="E34" s="11" t="s">
        <v>92</v>
      </c>
      <c r="F34" s="10" t="s">
        <v>244</v>
      </c>
      <c r="G34" s="10"/>
    </row>
    <row r="35" spans="1:7" ht="34" x14ac:dyDescent="0.2">
      <c r="A35" s="10" t="s">
        <v>96</v>
      </c>
      <c r="B35" s="10" t="str">
        <f>LOWER(Table1[[#This Row],[Question Code]])</f>
        <v>nbtot</v>
      </c>
      <c r="C35" s="10" t="s">
        <v>97</v>
      </c>
      <c r="D35" s="10" t="s">
        <v>98</v>
      </c>
      <c r="E35" s="11" t="s">
        <v>99</v>
      </c>
      <c r="F35" s="10" t="s">
        <v>244</v>
      </c>
      <c r="G35" s="10"/>
    </row>
    <row r="36" spans="1:7" ht="17" x14ac:dyDescent="0.2">
      <c r="A36" s="10" t="s">
        <v>100</v>
      </c>
      <c r="B36" s="10" t="str">
        <f>LOWER(Table1[[#This Row],[Question Code]])</f>
        <v>stplc</v>
      </c>
      <c r="C36" s="10" t="s">
        <v>101</v>
      </c>
      <c r="D36" s="10" t="s">
        <v>103</v>
      </c>
      <c r="E36" s="11" t="s">
        <v>109</v>
      </c>
      <c r="F36" s="10" t="s">
        <v>244</v>
      </c>
      <c r="G36" s="10"/>
    </row>
    <row r="37" spans="1:7" ht="17" x14ac:dyDescent="0.2">
      <c r="A37" s="10" t="s">
        <v>102</v>
      </c>
      <c r="B37" s="10" t="str">
        <f>LOWER(Table1[[#This Row],[Question Code]])</f>
        <v>dispplc</v>
      </c>
      <c r="C37" s="10" t="s">
        <v>104</v>
      </c>
      <c r="D37" s="10" t="s">
        <v>103</v>
      </c>
      <c r="E37" s="11" t="s">
        <v>108</v>
      </c>
      <c r="F37" s="10" t="s">
        <v>244</v>
      </c>
      <c r="G37" s="10"/>
    </row>
    <row r="38" spans="1:7" ht="17" x14ac:dyDescent="0.2">
      <c r="A38" s="10" t="s">
        <v>105</v>
      </c>
      <c r="B38" s="10" t="str">
        <f>LOWER(Table1[[#This Row],[Question Code]])</f>
        <v>cstplc</v>
      </c>
      <c r="C38" s="10" t="s">
        <v>106</v>
      </c>
      <c r="D38" s="10" t="s">
        <v>13</v>
      </c>
      <c r="E38" s="11" t="s">
        <v>107</v>
      </c>
      <c r="F38" s="10" t="s">
        <v>244</v>
      </c>
      <c r="G38" s="10"/>
    </row>
    <row r="39" spans="1:7" ht="17" x14ac:dyDescent="0.2">
      <c r="A39" s="10" t="s">
        <v>489</v>
      </c>
      <c r="B39" s="10" t="str">
        <f>LOWER(Table1[[#This Row],[Question Code]])</f>
        <v>empxnbh**</v>
      </c>
      <c r="C39" s="10" t="s">
        <v>490</v>
      </c>
      <c r="D39" s="10" t="s">
        <v>98</v>
      </c>
      <c r="E39" s="11" t="s">
        <v>110</v>
      </c>
      <c r="F39" s="10" t="s">
        <v>244</v>
      </c>
      <c r="G39" s="10"/>
    </row>
    <row r="40" spans="1:7" ht="17" x14ac:dyDescent="0.2">
      <c r="A40" s="10" t="s">
        <v>491</v>
      </c>
      <c r="B40" s="10" t="str">
        <f>LOWER(Table1[[#This Row],[Question Code]])</f>
        <v>dip5</v>
      </c>
      <c r="C40" s="10" t="s">
        <v>111</v>
      </c>
      <c r="D40" s="10" t="s">
        <v>112</v>
      </c>
      <c r="E40" s="11" t="s">
        <v>492</v>
      </c>
      <c r="F40" s="10" t="s">
        <v>244</v>
      </c>
      <c r="G40" s="10"/>
    </row>
    <row r="41" spans="1:7" ht="17" x14ac:dyDescent="0.2">
      <c r="A41" s="10" t="s">
        <v>120</v>
      </c>
      <c r="B41" s="10" t="str">
        <f>LOWER(Table1[[#This Row],[Question Code]])</f>
        <v>naip(m)er</v>
      </c>
      <c r="C41" s="10" t="s">
        <v>113</v>
      </c>
      <c r="D41" s="10" t="s">
        <v>115</v>
      </c>
      <c r="E41" s="11" t="s">
        <v>121</v>
      </c>
      <c r="F41" s="10" t="s">
        <v>244</v>
      </c>
      <c r="G41" s="10"/>
    </row>
    <row r="42" spans="1:7" ht="17" x14ac:dyDescent="0.2">
      <c r="A42" s="10" t="s">
        <v>114</v>
      </c>
      <c r="B42" s="10" t="str">
        <f>LOWER(Table1[[#This Row],[Question Code]])</f>
        <v>fstc</v>
      </c>
      <c r="C42" s="10" t="s">
        <v>116</v>
      </c>
      <c r="D42" s="10" t="s">
        <v>115</v>
      </c>
      <c r="E42" s="11" t="s">
        <v>118</v>
      </c>
      <c r="F42" s="10" t="s">
        <v>244</v>
      </c>
      <c r="G42" s="10"/>
    </row>
    <row r="43" spans="1:7" ht="17" x14ac:dyDescent="0.2">
      <c r="A43" s="17" t="s">
        <v>117</v>
      </c>
      <c r="B43" s="17" t="str">
        <f>LOWER(Table1[[#This Row],[Question Code]])</f>
        <v>fqprcr</v>
      </c>
      <c r="C43" s="17" t="s">
        <v>116</v>
      </c>
      <c r="D43" s="17" t="s">
        <v>115</v>
      </c>
      <c r="E43" s="18" t="s">
        <v>119</v>
      </c>
      <c r="F43" s="17" t="s">
        <v>244</v>
      </c>
      <c r="G43" s="17" t="s">
        <v>493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37B4E5D-90A9-1446-BE3C-1E9FC88E8CD8}">
          <x14:formula1>
            <xm:f>Lists!$B$4:$B$25</xm:f>
          </x14:formula1>
          <xm:sqref>D2:D43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7E7B1-62B7-484E-9398-C434AF8B6F9A}">
  <dimension ref="B3:F28"/>
  <sheetViews>
    <sheetView workbookViewId="0">
      <selection activeCell="C23" sqref="C23"/>
    </sheetView>
  </sheetViews>
  <sheetFormatPr baseColWidth="10" defaultRowHeight="16" x14ac:dyDescent="0.2"/>
  <cols>
    <col min="2" max="2" width="15.33203125" customWidth="1"/>
    <col min="3" max="3" width="28.1640625" bestFit="1" customWidth="1"/>
    <col min="4" max="4" width="37.33203125" bestFit="1" customWidth="1"/>
    <col min="5" max="5" width="28.1640625" bestFit="1" customWidth="1"/>
  </cols>
  <sheetData>
    <row r="3" spans="2:6" x14ac:dyDescent="0.2">
      <c r="B3" t="s">
        <v>0</v>
      </c>
      <c r="C3" t="s">
        <v>6</v>
      </c>
      <c r="D3" t="s">
        <v>122</v>
      </c>
      <c r="E3" t="s">
        <v>3</v>
      </c>
      <c r="F3" t="s">
        <v>131</v>
      </c>
    </row>
    <row r="4" spans="2:6" x14ac:dyDescent="0.2">
      <c r="B4" t="s">
        <v>123</v>
      </c>
      <c r="C4" t="s">
        <v>124</v>
      </c>
      <c r="D4" t="s">
        <v>125</v>
      </c>
      <c r="F4" s="5" t="s">
        <v>132</v>
      </c>
    </row>
    <row r="5" spans="2:6" x14ac:dyDescent="0.2">
      <c r="B5" t="s">
        <v>127</v>
      </c>
      <c r="C5" t="s">
        <v>195</v>
      </c>
      <c r="D5" t="s">
        <v>115</v>
      </c>
      <c r="E5" t="s">
        <v>128</v>
      </c>
      <c r="F5" t="s">
        <v>136</v>
      </c>
    </row>
    <row r="6" spans="2:6" x14ac:dyDescent="0.2">
      <c r="B6" t="s">
        <v>129</v>
      </c>
      <c r="C6" t="s">
        <v>130</v>
      </c>
      <c r="D6" t="s">
        <v>38</v>
      </c>
      <c r="E6" s="5"/>
      <c r="F6" s="5" t="s">
        <v>132</v>
      </c>
    </row>
    <row r="7" spans="2:6" ht="34" x14ac:dyDescent="0.2">
      <c r="B7" t="s">
        <v>19</v>
      </c>
      <c r="C7" t="s">
        <v>133</v>
      </c>
      <c r="D7" t="s">
        <v>18</v>
      </c>
      <c r="E7" s="1" t="s">
        <v>135</v>
      </c>
      <c r="F7" s="5" t="s">
        <v>134</v>
      </c>
    </row>
    <row r="8" spans="2:6" ht="34" x14ac:dyDescent="0.2">
      <c r="B8" t="s">
        <v>138</v>
      </c>
      <c r="C8" t="s">
        <v>137</v>
      </c>
      <c r="D8" t="s">
        <v>125</v>
      </c>
      <c r="E8" s="1" t="s">
        <v>139</v>
      </c>
      <c r="F8" s="5" t="s">
        <v>132</v>
      </c>
    </row>
    <row r="9" spans="2:6" x14ac:dyDescent="0.2">
      <c r="B9" t="s">
        <v>140</v>
      </c>
      <c r="C9" t="s">
        <v>141</v>
      </c>
      <c r="D9" t="s">
        <v>112</v>
      </c>
      <c r="F9" s="5" t="s">
        <v>132</v>
      </c>
    </row>
    <row r="10" spans="2:6" x14ac:dyDescent="0.2">
      <c r="B10" t="s">
        <v>102</v>
      </c>
      <c r="C10" t="s">
        <v>142</v>
      </c>
      <c r="D10" t="s">
        <v>103</v>
      </c>
      <c r="E10" t="s">
        <v>143</v>
      </c>
      <c r="F10" s="5" t="s">
        <v>132</v>
      </c>
    </row>
    <row r="11" spans="2:6" ht="51" x14ac:dyDescent="0.2">
      <c r="B11" t="s">
        <v>147</v>
      </c>
      <c r="C11" t="s">
        <v>145</v>
      </c>
      <c r="D11" t="s">
        <v>87</v>
      </c>
      <c r="E11" s="1" t="s">
        <v>149</v>
      </c>
      <c r="F11" s="5" t="s">
        <v>132</v>
      </c>
    </row>
    <row r="12" spans="2:6" x14ac:dyDescent="0.2">
      <c r="B12" t="s">
        <v>148</v>
      </c>
      <c r="C12" t="s">
        <v>146</v>
      </c>
      <c r="D12" t="s">
        <v>87</v>
      </c>
      <c r="E12" t="s">
        <v>158</v>
      </c>
      <c r="F12" s="5" t="s">
        <v>132</v>
      </c>
    </row>
    <row r="13" spans="2:6" x14ac:dyDescent="0.2">
      <c r="B13" t="s">
        <v>150</v>
      </c>
      <c r="C13" t="s">
        <v>151</v>
      </c>
      <c r="D13" t="s">
        <v>103</v>
      </c>
      <c r="E13" t="s">
        <v>152</v>
      </c>
      <c r="F13" s="5" t="s">
        <v>132</v>
      </c>
    </row>
    <row r="14" spans="2:6" x14ac:dyDescent="0.2">
      <c r="B14" t="s">
        <v>153</v>
      </c>
      <c r="C14" t="s">
        <v>154</v>
      </c>
      <c r="D14" t="s">
        <v>38</v>
      </c>
      <c r="E14" t="s">
        <v>155</v>
      </c>
      <c r="F14" s="5" t="s">
        <v>134</v>
      </c>
    </row>
    <row r="15" spans="2:6" x14ac:dyDescent="0.2">
      <c r="B15" t="s">
        <v>156</v>
      </c>
      <c r="C15" t="s">
        <v>157</v>
      </c>
      <c r="D15" t="s">
        <v>98</v>
      </c>
      <c r="E15" t="s">
        <v>159</v>
      </c>
      <c r="F15" s="5" t="s">
        <v>134</v>
      </c>
    </row>
    <row r="16" spans="2:6" x14ac:dyDescent="0.2">
      <c r="B16" t="s">
        <v>24</v>
      </c>
      <c r="C16" t="s">
        <v>160</v>
      </c>
      <c r="D16" t="s">
        <v>23</v>
      </c>
      <c r="E16" t="s">
        <v>161</v>
      </c>
      <c r="F16" s="5" t="s">
        <v>132</v>
      </c>
    </row>
    <row r="17" spans="2:6" x14ac:dyDescent="0.2">
      <c r="B17" t="s">
        <v>162</v>
      </c>
      <c r="C17" t="s">
        <v>163</v>
      </c>
      <c r="D17" t="s">
        <v>38</v>
      </c>
      <c r="E17" t="s">
        <v>164</v>
      </c>
      <c r="F17" s="5" t="s">
        <v>132</v>
      </c>
    </row>
    <row r="18" spans="2:6" x14ac:dyDescent="0.2">
      <c r="B18" t="s">
        <v>165</v>
      </c>
      <c r="C18" t="s">
        <v>166</v>
      </c>
      <c r="D18" t="s">
        <v>38</v>
      </c>
      <c r="E18" t="s">
        <v>167</v>
      </c>
      <c r="F18" s="5" t="s">
        <v>132</v>
      </c>
    </row>
    <row r="19" spans="2:6" x14ac:dyDescent="0.2">
      <c r="B19" t="s">
        <v>168</v>
      </c>
      <c r="C19" t="s">
        <v>169</v>
      </c>
      <c r="D19" t="s">
        <v>103</v>
      </c>
      <c r="F19" s="5" t="s">
        <v>134</v>
      </c>
    </row>
    <row r="20" spans="2:6" x14ac:dyDescent="0.2">
      <c r="B20" t="s">
        <v>89</v>
      </c>
      <c r="C20" t="s">
        <v>170</v>
      </c>
      <c r="D20" t="s">
        <v>103</v>
      </c>
      <c r="E20" t="s">
        <v>171</v>
      </c>
      <c r="F20" s="5" t="s">
        <v>134</v>
      </c>
    </row>
    <row r="21" spans="2:6" x14ac:dyDescent="0.2">
      <c r="B21" t="s">
        <v>2</v>
      </c>
      <c r="D21" t="s">
        <v>30</v>
      </c>
      <c r="F21" t="s">
        <v>136</v>
      </c>
    </row>
    <row r="22" spans="2:6" x14ac:dyDescent="0.2">
      <c r="B22" t="s">
        <v>172</v>
      </c>
      <c r="C22" t="s">
        <v>173</v>
      </c>
      <c r="D22" t="s">
        <v>13</v>
      </c>
      <c r="E22" t="s">
        <v>175</v>
      </c>
      <c r="F22" s="5" t="s">
        <v>132</v>
      </c>
    </row>
    <row r="23" spans="2:6" x14ac:dyDescent="0.2">
      <c r="B23" t="s">
        <v>11</v>
      </c>
      <c r="C23" t="s">
        <v>174</v>
      </c>
      <c r="D23" t="s">
        <v>13</v>
      </c>
      <c r="E23" t="s">
        <v>176</v>
      </c>
      <c r="F23" s="5" t="s">
        <v>134</v>
      </c>
    </row>
    <row r="24" spans="2:6" x14ac:dyDescent="0.2">
      <c r="B24" t="s">
        <v>177</v>
      </c>
      <c r="C24" t="s">
        <v>178</v>
      </c>
      <c r="D24" t="s">
        <v>103</v>
      </c>
      <c r="E24" t="s">
        <v>179</v>
      </c>
      <c r="F24" s="5" t="s">
        <v>132</v>
      </c>
    </row>
    <row r="25" spans="2:6" x14ac:dyDescent="0.2">
      <c r="B25" t="s">
        <v>36</v>
      </c>
      <c r="C25" t="s">
        <v>180</v>
      </c>
      <c r="D25" t="s">
        <v>38</v>
      </c>
      <c r="E25" t="s">
        <v>181</v>
      </c>
      <c r="F25" s="5" t="s">
        <v>132</v>
      </c>
    </row>
    <row r="26" spans="2:6" x14ac:dyDescent="0.2">
      <c r="B26" t="s">
        <v>21</v>
      </c>
      <c r="C26" t="s">
        <v>182</v>
      </c>
      <c r="D26" t="s">
        <v>23</v>
      </c>
      <c r="F26" t="s">
        <v>136</v>
      </c>
    </row>
    <row r="27" spans="2:6" x14ac:dyDescent="0.2">
      <c r="B27" t="s">
        <v>100</v>
      </c>
      <c r="C27" t="s">
        <v>183</v>
      </c>
      <c r="D27" t="s">
        <v>18</v>
      </c>
      <c r="E27" t="s">
        <v>184</v>
      </c>
      <c r="F27" t="s">
        <v>134</v>
      </c>
    </row>
    <row r="28" spans="2:6" x14ac:dyDescent="0.2">
      <c r="B28" t="s">
        <v>186</v>
      </c>
      <c r="C28" t="s">
        <v>185</v>
      </c>
      <c r="D28" t="s">
        <v>115</v>
      </c>
      <c r="E28" t="s">
        <v>187</v>
      </c>
      <c r="F28" s="5" t="s">
        <v>132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18B464-4FE9-3143-82D9-4F5E5E3A8191}">
          <x14:formula1>
            <xm:f>Lists!$B$4:$B$25</xm:f>
          </x14:formula1>
          <xm:sqref>D4:D28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C8849-89D6-804C-A129-A3CBF7122A46}">
  <sheetPr>
    <tabColor theme="9"/>
  </sheetPr>
  <dimension ref="A1:I49"/>
  <sheetViews>
    <sheetView topLeftCell="A34" zoomScale="125" workbookViewId="0">
      <selection activeCell="B3" sqref="B3"/>
    </sheetView>
  </sheetViews>
  <sheetFormatPr baseColWidth="10" defaultRowHeight="16" x14ac:dyDescent="0.2"/>
  <cols>
    <col min="1" max="1" width="15.5" bestFit="1" customWidth="1"/>
    <col min="3" max="3" width="48.5" bestFit="1" customWidth="1"/>
    <col min="4" max="4" width="40.6640625" bestFit="1" customWidth="1"/>
    <col min="5" max="5" width="37.33203125" bestFit="1" customWidth="1"/>
    <col min="6" max="6" width="32.6640625" customWidth="1"/>
    <col min="7" max="7" width="10" bestFit="1" customWidth="1"/>
    <col min="8" max="8" width="12" customWidth="1"/>
  </cols>
  <sheetData>
    <row r="1" spans="1:9" ht="17" thickBot="1" x14ac:dyDescent="0.25">
      <c r="A1" s="2" t="s">
        <v>0</v>
      </c>
      <c r="B1" s="9" t="s">
        <v>467</v>
      </c>
      <c r="C1" s="3" t="s">
        <v>6</v>
      </c>
      <c r="D1" s="3" t="s">
        <v>122</v>
      </c>
      <c r="E1" s="3" t="s">
        <v>3</v>
      </c>
      <c r="F1" s="4" t="s">
        <v>131</v>
      </c>
      <c r="G1" s="6" t="s">
        <v>188</v>
      </c>
    </row>
    <row r="2" spans="1:9" ht="18" thickTop="1" x14ac:dyDescent="0.2">
      <c r="A2" s="10" t="s">
        <v>123</v>
      </c>
      <c r="B2" s="10" t="str">
        <f>LOWER(Table5[[#This Row],[Question Code]])</f>
        <v>acteu</v>
      </c>
      <c r="C2" s="10" t="s">
        <v>189</v>
      </c>
      <c r="D2" s="10" t="s">
        <v>125</v>
      </c>
      <c r="E2" s="11" t="s">
        <v>190</v>
      </c>
      <c r="F2" s="12" t="s">
        <v>132</v>
      </c>
      <c r="G2" s="10" t="s">
        <v>244</v>
      </c>
      <c r="I2" s="5" t="s">
        <v>497</v>
      </c>
    </row>
    <row r="3" spans="1:9" x14ac:dyDescent="0.2">
      <c r="A3" s="10" t="s">
        <v>191</v>
      </c>
      <c r="B3" s="10" t="str">
        <f>LOWER(Table5[[#This Row],[Question Code]])</f>
        <v>actif</v>
      </c>
      <c r="C3" s="10" t="s">
        <v>192</v>
      </c>
      <c r="D3" s="10" t="s">
        <v>125</v>
      </c>
      <c r="E3" s="11"/>
      <c r="F3" s="12" t="s">
        <v>134</v>
      </c>
      <c r="G3" s="10" t="s">
        <v>244</v>
      </c>
    </row>
    <row r="4" spans="1:9" x14ac:dyDescent="0.2">
      <c r="A4" s="10" t="s">
        <v>193</v>
      </c>
      <c r="B4" s="10" t="str">
        <f>LOWER(Table5[[#This Row],[Question Code]])</f>
        <v>age3</v>
      </c>
      <c r="C4" s="10" t="s">
        <v>194</v>
      </c>
      <c r="D4" s="10" t="s">
        <v>115</v>
      </c>
      <c r="E4" s="11"/>
      <c r="F4" s="12" t="s">
        <v>132</v>
      </c>
      <c r="G4" s="10" t="s">
        <v>244</v>
      </c>
    </row>
    <row r="5" spans="1:9" x14ac:dyDescent="0.2">
      <c r="A5" s="10" t="s">
        <v>126</v>
      </c>
      <c r="B5" s="10" t="str">
        <f>LOWER(Table5[[#This Row],[Question Code]])</f>
        <v>age</v>
      </c>
      <c r="C5" s="10" t="s">
        <v>196</v>
      </c>
      <c r="D5" s="10" t="s">
        <v>115</v>
      </c>
      <c r="E5" s="11"/>
      <c r="F5" s="12" t="s">
        <v>132</v>
      </c>
      <c r="G5" s="10" t="s">
        <v>244</v>
      </c>
    </row>
    <row r="6" spans="1:9" ht="34" x14ac:dyDescent="0.2">
      <c r="A6" s="10" t="s">
        <v>48</v>
      </c>
      <c r="B6" s="10" t="str">
        <f>LOWER(Table5[[#This Row],[Question Code]])</f>
        <v>am1b</v>
      </c>
      <c r="C6" s="10" t="s">
        <v>197</v>
      </c>
      <c r="D6" s="10" t="s">
        <v>472</v>
      </c>
      <c r="E6" s="11" t="s">
        <v>199</v>
      </c>
      <c r="F6" s="12" t="s">
        <v>132</v>
      </c>
      <c r="G6" s="10" t="s">
        <v>244</v>
      </c>
    </row>
    <row r="7" spans="1:9" ht="51" x14ac:dyDescent="0.2">
      <c r="A7" s="10" t="s">
        <v>68</v>
      </c>
      <c r="B7" s="10" t="str">
        <f>LOWER(Table5[[#This Row],[Question Code]])</f>
        <v>am2nb</v>
      </c>
      <c r="C7" s="10" t="s">
        <v>198</v>
      </c>
      <c r="D7" s="10" t="s">
        <v>59</v>
      </c>
      <c r="E7" s="11" t="s">
        <v>200</v>
      </c>
      <c r="F7" s="12" t="s">
        <v>132</v>
      </c>
      <c r="G7" s="10" t="s">
        <v>244</v>
      </c>
    </row>
    <row r="8" spans="1:9" ht="34" x14ac:dyDescent="0.2">
      <c r="A8" s="10" t="s">
        <v>75</v>
      </c>
      <c r="B8" s="10" t="str">
        <f>LOWER(Table5[[#This Row],[Question Code]])</f>
        <v>apobar</v>
      </c>
      <c r="C8" s="10" t="s">
        <v>201</v>
      </c>
      <c r="D8" s="10" t="s">
        <v>78</v>
      </c>
      <c r="E8" s="11" t="s">
        <v>202</v>
      </c>
      <c r="F8" s="12" t="s">
        <v>134</v>
      </c>
      <c r="G8" s="10" t="s">
        <v>244</v>
      </c>
    </row>
    <row r="9" spans="1:9" x14ac:dyDescent="0.2">
      <c r="A9" s="10" t="s">
        <v>41</v>
      </c>
      <c r="B9" s="10" t="str">
        <f>LOWER(Table5[[#This Row],[Question Code]])</f>
        <v>autoent</v>
      </c>
      <c r="C9" s="10" t="s">
        <v>203</v>
      </c>
      <c r="D9" s="10" t="s">
        <v>43</v>
      </c>
      <c r="E9" s="11"/>
      <c r="F9" s="12" t="s">
        <v>134</v>
      </c>
      <c r="G9" s="10" t="s">
        <v>244</v>
      </c>
    </row>
    <row r="10" spans="1:9" ht="34" x14ac:dyDescent="0.2">
      <c r="A10" s="10" t="s">
        <v>204</v>
      </c>
      <c r="B10" s="10" t="str">
        <f>LOWER(Table5[[#This Row],[Question Code]])</f>
        <v>autoenta</v>
      </c>
      <c r="C10" s="10" t="s">
        <v>205</v>
      </c>
      <c r="D10" s="10" t="s">
        <v>43</v>
      </c>
      <c r="E10" s="11" t="s">
        <v>206</v>
      </c>
      <c r="F10" s="12" t="s">
        <v>134</v>
      </c>
      <c r="G10" s="10" t="s">
        <v>244</v>
      </c>
    </row>
    <row r="11" spans="1:9" ht="34" x14ac:dyDescent="0.2">
      <c r="A11" s="10" t="s">
        <v>129</v>
      </c>
      <c r="B11" s="10" t="str">
        <f>LOWER(Table5[[#This Row],[Question Code]])</f>
        <v>chpub</v>
      </c>
      <c r="C11" s="10" t="s">
        <v>207</v>
      </c>
      <c r="D11" s="10" t="s">
        <v>38</v>
      </c>
      <c r="E11" s="11" t="s">
        <v>208</v>
      </c>
      <c r="F11" s="12" t="s">
        <v>132</v>
      </c>
      <c r="G11" s="10" t="s">
        <v>244</v>
      </c>
    </row>
    <row r="12" spans="1:9" ht="51" x14ac:dyDescent="0.2">
      <c r="A12" s="10" t="s">
        <v>209</v>
      </c>
      <c r="B12" s="10" t="str">
        <f>LOWER(Table5[[#This Row],[Question Code]])</f>
        <v>chpubb</v>
      </c>
      <c r="C12" s="10" t="s">
        <v>211</v>
      </c>
      <c r="D12" s="10" t="s">
        <v>38</v>
      </c>
      <c r="E12" s="11" t="s">
        <v>210</v>
      </c>
      <c r="F12" s="12" t="s">
        <v>132</v>
      </c>
      <c r="G12" s="10" t="s">
        <v>244</v>
      </c>
    </row>
    <row r="13" spans="1:9" ht="119" x14ac:dyDescent="0.2">
      <c r="A13" s="10" t="s">
        <v>212</v>
      </c>
      <c r="B13" s="10" t="str">
        <f>LOWER(Table5[[#This Row],[Question Code]])</f>
        <v>creaccm04</v>
      </c>
      <c r="C13" s="10" t="s">
        <v>213</v>
      </c>
      <c r="D13" s="10" t="s">
        <v>103</v>
      </c>
      <c r="E13" s="11" t="s">
        <v>214</v>
      </c>
      <c r="F13" s="12" t="s">
        <v>134</v>
      </c>
      <c r="G13" s="10" t="s">
        <v>244</v>
      </c>
    </row>
    <row r="14" spans="1:9" ht="17" x14ac:dyDescent="0.2">
      <c r="A14" s="10" t="s">
        <v>19</v>
      </c>
      <c r="B14" s="10" t="str">
        <f>LOWER(Table5[[#This Row],[Question Code]])</f>
        <v>creaccp</v>
      </c>
      <c r="C14" s="10" t="s">
        <v>215</v>
      </c>
      <c r="D14" s="10" t="s">
        <v>18</v>
      </c>
      <c r="E14" s="11" t="s">
        <v>216</v>
      </c>
      <c r="F14" s="12" t="s">
        <v>134</v>
      </c>
      <c r="G14" s="10" t="s">
        <v>244</v>
      </c>
    </row>
    <row r="15" spans="1:9" x14ac:dyDescent="0.2">
      <c r="A15" s="10" t="s">
        <v>217</v>
      </c>
      <c r="B15" s="10" t="str">
        <f>LOWER(Table5[[#This Row],[Question Code]])</f>
        <v>cser</v>
      </c>
      <c r="C15" s="10" t="s">
        <v>218</v>
      </c>
      <c r="D15" s="10" t="s">
        <v>38</v>
      </c>
      <c r="E15" s="11"/>
      <c r="F15" s="12" t="s">
        <v>132</v>
      </c>
      <c r="G15" s="10" t="s">
        <v>244</v>
      </c>
    </row>
    <row r="16" spans="1:9" ht="51" x14ac:dyDescent="0.2">
      <c r="A16" s="10" t="s">
        <v>105</v>
      </c>
      <c r="B16" s="10" t="str">
        <f>LOWER(Table5[[#This Row],[Question Code]])</f>
        <v>cstplc</v>
      </c>
      <c r="C16" s="10" t="s">
        <v>219</v>
      </c>
      <c r="D16" s="10" t="s">
        <v>13</v>
      </c>
      <c r="E16" s="11" t="s">
        <v>220</v>
      </c>
      <c r="F16" s="12" t="s">
        <v>132</v>
      </c>
      <c r="G16" s="10" t="s">
        <v>244</v>
      </c>
    </row>
    <row r="17" spans="1:7" ht="17" x14ac:dyDescent="0.2">
      <c r="A17" s="10" t="s">
        <v>221</v>
      </c>
      <c r="B17" s="10" t="str">
        <f>LOWER(Table5[[#This Row],[Question Code]])</f>
        <v>datniv</v>
      </c>
      <c r="C17" s="10" t="s">
        <v>222</v>
      </c>
      <c r="D17" s="10" t="s">
        <v>115</v>
      </c>
      <c r="E17" s="11" t="s">
        <v>223</v>
      </c>
      <c r="F17" s="12" t="s">
        <v>134</v>
      </c>
      <c r="G17" s="10" t="s">
        <v>244</v>
      </c>
    </row>
    <row r="18" spans="1:7" ht="17" x14ac:dyDescent="0.2">
      <c r="A18" s="10" t="s">
        <v>224</v>
      </c>
      <c r="B18" s="10" t="str">
        <f>LOWER(Table5[[#This Row],[Question Code]])</f>
        <v>ddipl</v>
      </c>
      <c r="C18" s="10" t="s">
        <v>141</v>
      </c>
      <c r="D18" s="10" t="s">
        <v>112</v>
      </c>
      <c r="E18" s="11" t="s">
        <v>227</v>
      </c>
      <c r="F18" s="12" t="s">
        <v>132</v>
      </c>
      <c r="G18" s="10" t="s">
        <v>244</v>
      </c>
    </row>
    <row r="19" spans="1:7" x14ac:dyDescent="0.2">
      <c r="A19" s="10" t="s">
        <v>225</v>
      </c>
      <c r="B19" s="10" t="str">
        <f>LOWER(Table5[[#This Row],[Question Code]])</f>
        <v>desc</v>
      </c>
      <c r="C19" s="10" t="s">
        <v>226</v>
      </c>
      <c r="D19" s="10" t="s">
        <v>115</v>
      </c>
      <c r="E19" s="11"/>
      <c r="F19" s="12" t="s">
        <v>132</v>
      </c>
      <c r="G19" s="10" t="s">
        <v>244</v>
      </c>
    </row>
    <row r="20" spans="1:7" ht="17" x14ac:dyDescent="0.2">
      <c r="A20" s="10" t="s">
        <v>102</v>
      </c>
      <c r="B20" s="10" t="str">
        <f>LOWER(Table5[[#This Row],[Question Code]])</f>
        <v>dispplc</v>
      </c>
      <c r="C20" s="10" t="s">
        <v>228</v>
      </c>
      <c r="D20" s="10" t="s">
        <v>103</v>
      </c>
      <c r="E20" s="11" t="s">
        <v>229</v>
      </c>
      <c r="F20" s="12" t="s">
        <v>132</v>
      </c>
      <c r="G20" s="10" t="s">
        <v>244</v>
      </c>
    </row>
    <row r="21" spans="1:7" ht="34" x14ac:dyDescent="0.2">
      <c r="A21" s="10" t="s">
        <v>230</v>
      </c>
      <c r="B21" s="10" t="str">
        <f>LOWER(Table5[[#This Row],[Question Code]])</f>
        <v>emp2nbh</v>
      </c>
      <c r="C21" s="10" t="s">
        <v>231</v>
      </c>
      <c r="D21" s="10" t="s">
        <v>98</v>
      </c>
      <c r="E21" s="11" t="s">
        <v>232</v>
      </c>
      <c r="F21" s="12" t="s">
        <v>134</v>
      </c>
      <c r="G21" s="10" t="s">
        <v>244</v>
      </c>
    </row>
    <row r="22" spans="1:7" ht="34" x14ac:dyDescent="0.2">
      <c r="A22" s="10" t="s">
        <v>233</v>
      </c>
      <c r="B22" s="10" t="str">
        <f>LOWER(Table5[[#This Row],[Question Code]])</f>
        <v>emp3nbh</v>
      </c>
      <c r="C22" s="10" t="s">
        <v>234</v>
      </c>
      <c r="D22" s="10" t="s">
        <v>98</v>
      </c>
      <c r="E22" s="11" t="s">
        <v>232</v>
      </c>
      <c r="F22" s="12" t="s">
        <v>134</v>
      </c>
      <c r="G22" s="10" t="s">
        <v>244</v>
      </c>
    </row>
    <row r="23" spans="1:7" ht="17" x14ac:dyDescent="0.2">
      <c r="A23" s="10" t="s">
        <v>235</v>
      </c>
      <c r="B23" s="10" t="str">
        <f>LOWER(Table5[[#This Row],[Question Code]])</f>
        <v>empnbh</v>
      </c>
      <c r="C23" s="10" t="s">
        <v>236</v>
      </c>
      <c r="D23" s="10" t="s">
        <v>87</v>
      </c>
      <c r="E23" s="11" t="s">
        <v>237</v>
      </c>
      <c r="F23" s="12" t="s">
        <v>132</v>
      </c>
      <c r="G23" s="10" t="s">
        <v>244</v>
      </c>
    </row>
    <row r="24" spans="1:7" x14ac:dyDescent="0.2">
      <c r="A24" s="10" t="s">
        <v>238</v>
      </c>
      <c r="B24" s="10" t="str">
        <f>LOWER(Table5[[#This Row],[Question Code]])</f>
        <v>estc</v>
      </c>
      <c r="C24" s="10" t="s">
        <v>239</v>
      </c>
      <c r="D24" s="10" t="s">
        <v>125</v>
      </c>
      <c r="E24" s="11"/>
      <c r="F24" s="12" t="s">
        <v>132</v>
      </c>
      <c r="G24" s="10" t="s">
        <v>244</v>
      </c>
    </row>
    <row r="25" spans="1:7" ht="34" x14ac:dyDescent="0.2">
      <c r="A25" s="10" t="s">
        <v>240</v>
      </c>
      <c r="B25" s="10" t="str">
        <f>LOWER(Table5[[#This Row],[Question Code]])</f>
        <v>ettp</v>
      </c>
      <c r="C25" s="10" t="s">
        <v>242</v>
      </c>
      <c r="D25" s="10" t="s">
        <v>83</v>
      </c>
      <c r="E25" s="11" t="s">
        <v>243</v>
      </c>
      <c r="F25" s="12" t="s">
        <v>132</v>
      </c>
      <c r="G25" s="10" t="s">
        <v>241</v>
      </c>
    </row>
    <row r="26" spans="1:7" ht="34" x14ac:dyDescent="0.2">
      <c r="A26" s="10" t="s">
        <v>91</v>
      </c>
      <c r="B26" s="10" t="str">
        <f>LOWER(Table5[[#This Row],[Question Code]])</f>
        <v>hhc</v>
      </c>
      <c r="C26" s="10" t="s">
        <v>245</v>
      </c>
      <c r="D26" s="10" t="s">
        <v>87</v>
      </c>
      <c r="E26" s="11" t="s">
        <v>246</v>
      </c>
      <c r="F26" s="12" t="s">
        <v>132</v>
      </c>
      <c r="G26" s="10" t="s">
        <v>244</v>
      </c>
    </row>
    <row r="27" spans="1:7" x14ac:dyDescent="0.2">
      <c r="A27" s="10" t="s">
        <v>247</v>
      </c>
      <c r="B27" s="10" t="str">
        <f>LOWER(Table5[[#This Row],[Question Code]])</f>
        <v>immi</v>
      </c>
      <c r="C27" s="10" t="s">
        <v>248</v>
      </c>
      <c r="D27" s="10" t="s">
        <v>115</v>
      </c>
      <c r="E27" s="11"/>
      <c r="F27" s="12" t="s">
        <v>132</v>
      </c>
      <c r="G27" s="10" t="s">
        <v>244</v>
      </c>
    </row>
    <row r="28" spans="1:7" ht="51" x14ac:dyDescent="0.2">
      <c r="A28" s="10" t="s">
        <v>249</v>
      </c>
      <c r="B28" s="10" t="str">
        <f>LOWER(Table5[[#This Row],[Question Code]])</f>
        <v>nafemp2g004n</v>
      </c>
      <c r="C28" s="10" t="s">
        <v>250</v>
      </c>
      <c r="D28" s="10" t="s">
        <v>59</v>
      </c>
      <c r="E28" s="11" t="s">
        <v>251</v>
      </c>
      <c r="F28" s="12" t="s">
        <v>132</v>
      </c>
      <c r="G28" s="10" t="s">
        <v>244</v>
      </c>
    </row>
    <row r="29" spans="1:7" x14ac:dyDescent="0.2">
      <c r="A29" s="10" t="s">
        <v>252</v>
      </c>
      <c r="B29" s="10" t="str">
        <f>LOWER(Table5[[#This Row],[Question Code]])</f>
        <v>nbenfind</v>
      </c>
      <c r="C29" s="10" t="s">
        <v>253</v>
      </c>
      <c r="D29" s="10" t="s">
        <v>115</v>
      </c>
      <c r="E29" s="11"/>
      <c r="F29" s="12" t="s">
        <v>134</v>
      </c>
      <c r="G29" s="10" t="s">
        <v>244</v>
      </c>
    </row>
    <row r="30" spans="1:7" ht="17" x14ac:dyDescent="0.2">
      <c r="A30" s="10" t="s">
        <v>165</v>
      </c>
      <c r="B30" s="10" t="str">
        <f>LOWER(Table5[[#This Row],[Question Code]])</f>
        <v>qprc</v>
      </c>
      <c r="C30" s="10" t="s">
        <v>254</v>
      </c>
      <c r="D30" s="10" t="s">
        <v>38</v>
      </c>
      <c r="E30" s="11" t="s">
        <v>237</v>
      </c>
      <c r="F30" s="12" t="s">
        <v>132</v>
      </c>
      <c r="G30" s="10" t="s">
        <v>244</v>
      </c>
    </row>
    <row r="31" spans="1:7" ht="17" x14ac:dyDescent="0.2">
      <c r="A31" s="10" t="s">
        <v>255</v>
      </c>
      <c r="B31" s="10" t="str">
        <f>LOWER(Table5[[#This Row],[Question Code]])</f>
        <v>qprcs2</v>
      </c>
      <c r="C31" s="10" t="s">
        <v>256</v>
      </c>
      <c r="D31" s="10" t="s">
        <v>61</v>
      </c>
      <c r="E31" s="11" t="s">
        <v>258</v>
      </c>
      <c r="F31" s="12" t="s">
        <v>134</v>
      </c>
      <c r="G31" s="10" t="s">
        <v>244</v>
      </c>
    </row>
    <row r="32" spans="1:7" ht="34" x14ac:dyDescent="0.2">
      <c r="A32" s="10" t="s">
        <v>89</v>
      </c>
      <c r="B32" s="10" t="str">
        <f>LOWER(Table5[[#This Row],[Question Code]])</f>
        <v>raistp</v>
      </c>
      <c r="C32" s="10" t="s">
        <v>257</v>
      </c>
      <c r="D32" s="10" t="s">
        <v>103</v>
      </c>
      <c r="E32" s="11" t="s">
        <v>259</v>
      </c>
      <c r="F32" s="12" t="s">
        <v>132</v>
      </c>
      <c r="G32" s="10" t="s">
        <v>244</v>
      </c>
    </row>
    <row r="33" spans="1:7" ht="17" x14ac:dyDescent="0.2">
      <c r="A33" s="10" t="s">
        <v>263</v>
      </c>
      <c r="B33" s="10" t="str">
        <f>LOWER(Table5[[#This Row],[Question Code]])</f>
        <v>salredtr</v>
      </c>
      <c r="C33" s="10" t="s">
        <v>264</v>
      </c>
      <c r="D33" s="10" t="s">
        <v>38</v>
      </c>
      <c r="E33" s="11" t="s">
        <v>261</v>
      </c>
      <c r="F33" s="12" t="s">
        <v>132</v>
      </c>
      <c r="G33" s="10" t="s">
        <v>260</v>
      </c>
    </row>
    <row r="34" spans="1:7" ht="51" x14ac:dyDescent="0.2">
      <c r="A34" s="10" t="s">
        <v>262</v>
      </c>
      <c r="B34" s="10" t="str">
        <f>LOWER(Table5[[#This Row],[Question Code]])</f>
        <v>salsee</v>
      </c>
      <c r="C34" s="10" t="s">
        <v>265</v>
      </c>
      <c r="D34" s="10" t="s">
        <v>61</v>
      </c>
      <c r="E34" s="11" t="s">
        <v>266</v>
      </c>
      <c r="F34" s="12" t="s">
        <v>132</v>
      </c>
      <c r="G34" s="10" t="s">
        <v>260</v>
      </c>
    </row>
    <row r="35" spans="1:7" ht="17" x14ac:dyDescent="0.2">
      <c r="A35" s="10" t="s">
        <v>267</v>
      </c>
      <c r="B35" s="10" t="str">
        <f>LOWER(Table5[[#This Row],[Question Code]])</f>
        <v>schpuba</v>
      </c>
      <c r="C35" s="10" t="s">
        <v>268</v>
      </c>
      <c r="D35" s="10" t="s">
        <v>61</v>
      </c>
      <c r="E35" s="11" t="s">
        <v>269</v>
      </c>
      <c r="F35" s="12" t="s">
        <v>134</v>
      </c>
      <c r="G35" s="10" t="s">
        <v>244</v>
      </c>
    </row>
    <row r="36" spans="1:7" x14ac:dyDescent="0.2">
      <c r="A36" s="10" t="s">
        <v>2</v>
      </c>
      <c r="B36" s="10" t="str">
        <f>LOWER(Table5[[#This Row],[Question Code]])</f>
        <v>sexe</v>
      </c>
      <c r="C36" s="10" t="s">
        <v>270</v>
      </c>
      <c r="D36" s="10" t="s">
        <v>30</v>
      </c>
      <c r="E36" s="11"/>
      <c r="F36" s="12" t="s">
        <v>132</v>
      </c>
      <c r="G36" s="10" t="s">
        <v>244</v>
      </c>
    </row>
    <row r="37" spans="1:7" ht="34" x14ac:dyDescent="0.2">
      <c r="A37" s="10" t="s">
        <v>271</v>
      </c>
      <c r="B37" s="10" t="str">
        <f>LOWER(Table5[[#This Row],[Question Code]])</f>
        <v>snbsala</v>
      </c>
      <c r="C37" s="10" t="s">
        <v>272</v>
      </c>
      <c r="D37" s="10" t="s">
        <v>61</v>
      </c>
      <c r="E37" s="11" t="s">
        <v>273</v>
      </c>
      <c r="F37" s="12" t="s">
        <v>134</v>
      </c>
      <c r="G37" s="10" t="s">
        <v>244</v>
      </c>
    </row>
    <row r="38" spans="1:7" ht="51" x14ac:dyDescent="0.2">
      <c r="A38" s="10" t="s">
        <v>11</v>
      </c>
      <c r="B38" s="10" t="str">
        <f>LOWER(Table5[[#This Row],[Question Code]])</f>
        <v>soub</v>
      </c>
      <c r="C38" s="10" t="s">
        <v>274</v>
      </c>
      <c r="D38" s="10" t="s">
        <v>13</v>
      </c>
      <c r="E38" s="13" t="s">
        <v>275</v>
      </c>
      <c r="F38" s="12" t="s">
        <v>134</v>
      </c>
      <c r="G38" s="10" t="s">
        <v>244</v>
      </c>
    </row>
    <row r="39" spans="1:7" ht="17" x14ac:dyDescent="0.2">
      <c r="A39" s="10" t="s">
        <v>177</v>
      </c>
      <c r="B39" s="10" t="str">
        <f>LOWER(Table5[[#This Row],[Question Code]])</f>
        <v>sousempl</v>
      </c>
      <c r="C39" s="10" t="s">
        <v>276</v>
      </c>
      <c r="D39" s="10" t="s">
        <v>103</v>
      </c>
      <c r="E39" s="11" t="s">
        <v>277</v>
      </c>
      <c r="F39" s="12" t="s">
        <v>132</v>
      </c>
      <c r="G39" s="10" t="s">
        <v>244</v>
      </c>
    </row>
    <row r="40" spans="1:7" ht="68" x14ac:dyDescent="0.2">
      <c r="A40" s="10" t="s">
        <v>278</v>
      </c>
      <c r="B40" s="10" t="str">
        <f>LOWER(Table5[[#This Row],[Question Code]])</f>
        <v>sp00</v>
      </c>
      <c r="C40" s="10" t="s">
        <v>279</v>
      </c>
      <c r="D40" s="10" t="s">
        <v>125</v>
      </c>
      <c r="E40" s="11" t="s">
        <v>280</v>
      </c>
      <c r="F40" s="12" t="s">
        <v>132</v>
      </c>
      <c r="G40" s="10" t="s">
        <v>244</v>
      </c>
    </row>
    <row r="41" spans="1:7" ht="34" x14ac:dyDescent="0.2">
      <c r="A41" s="10" t="s">
        <v>281</v>
      </c>
      <c r="B41" s="10" t="str">
        <f>LOWER(Table5[[#This Row],[Question Code]])</f>
        <v>statut</v>
      </c>
      <c r="C41" s="10" t="s">
        <v>282</v>
      </c>
      <c r="D41" s="10" t="s">
        <v>39</v>
      </c>
      <c r="E41" s="11" t="s">
        <v>283</v>
      </c>
      <c r="F41" s="12" t="s">
        <v>132</v>
      </c>
      <c r="G41" s="10" t="s">
        <v>244</v>
      </c>
    </row>
    <row r="42" spans="1:7" x14ac:dyDescent="0.2">
      <c r="A42" s="10" t="s">
        <v>284</v>
      </c>
      <c r="B42" s="10" t="str">
        <f>LOWER(Table5[[#This Row],[Question Code]])</f>
        <v>stat2</v>
      </c>
      <c r="C42" s="10" t="s">
        <v>287</v>
      </c>
      <c r="D42" s="10" t="s">
        <v>39</v>
      </c>
      <c r="E42" s="11"/>
      <c r="F42" s="12" t="s">
        <v>132</v>
      </c>
      <c r="G42" s="10" t="s">
        <v>244</v>
      </c>
    </row>
    <row r="43" spans="1:7" ht="34" x14ac:dyDescent="0.2">
      <c r="A43" s="10" t="s">
        <v>285</v>
      </c>
      <c r="B43" s="10" t="str">
        <f>LOWER(Table5[[#This Row],[Question Code]])</f>
        <v>statuts2</v>
      </c>
      <c r="C43" s="10" t="s">
        <v>288</v>
      </c>
      <c r="D43" s="10" t="s">
        <v>62</v>
      </c>
      <c r="E43" s="11" t="s">
        <v>286</v>
      </c>
      <c r="F43" s="12" t="s">
        <v>132</v>
      </c>
      <c r="G43" s="10" t="s">
        <v>244</v>
      </c>
    </row>
    <row r="44" spans="1:7" ht="17" x14ac:dyDescent="0.2">
      <c r="A44" s="10" t="s">
        <v>36</v>
      </c>
      <c r="B44" s="10" t="str">
        <f>LOWER(Table5[[#This Row],[Question Code]])</f>
        <v>stc</v>
      </c>
      <c r="C44" s="10" t="s">
        <v>287</v>
      </c>
      <c r="D44" s="10" t="s">
        <v>39</v>
      </c>
      <c r="E44" s="11" t="s">
        <v>289</v>
      </c>
      <c r="F44" s="12" t="s">
        <v>132</v>
      </c>
      <c r="G44" s="10" t="s">
        <v>244</v>
      </c>
    </row>
    <row r="45" spans="1:7" ht="17" x14ac:dyDescent="0.2">
      <c r="A45" s="10" t="s">
        <v>21</v>
      </c>
      <c r="B45" s="10" t="str">
        <f>LOWER(Table5[[#This Row],[Question Code]])</f>
        <v>stche</v>
      </c>
      <c r="C45" s="10" t="s">
        <v>290</v>
      </c>
      <c r="D45" s="10" t="s">
        <v>23</v>
      </c>
      <c r="E45" s="11" t="s">
        <v>291</v>
      </c>
      <c r="F45" s="12" t="s">
        <v>132</v>
      </c>
      <c r="G45" s="10" t="s">
        <v>244</v>
      </c>
    </row>
    <row r="46" spans="1:7" ht="17" x14ac:dyDescent="0.2">
      <c r="A46" s="10" t="s">
        <v>100</v>
      </c>
      <c r="B46" s="10" t="str">
        <f>LOWER(Table5[[#This Row],[Question Code]])</f>
        <v>stplc</v>
      </c>
      <c r="C46" s="10" t="s">
        <v>292</v>
      </c>
      <c r="D46" s="10" t="s">
        <v>18</v>
      </c>
      <c r="E46" s="11" t="s">
        <v>293</v>
      </c>
      <c r="F46" s="12" t="s">
        <v>132</v>
      </c>
      <c r="G46" s="10" t="s">
        <v>244</v>
      </c>
    </row>
    <row r="47" spans="1:7" ht="34" x14ac:dyDescent="0.2">
      <c r="A47" s="10" t="s">
        <v>294</v>
      </c>
      <c r="B47" s="10" t="str">
        <f>LOWER(Table5[[#This Row],[Question Code]])</f>
        <v>totnbh</v>
      </c>
      <c r="C47" s="10" t="s">
        <v>295</v>
      </c>
      <c r="D47" s="10" t="s">
        <v>98</v>
      </c>
      <c r="E47" s="11" t="s">
        <v>297</v>
      </c>
      <c r="F47" s="12" t="s">
        <v>132</v>
      </c>
      <c r="G47" s="10" t="s">
        <v>244</v>
      </c>
    </row>
    <row r="48" spans="1:7" ht="34" x14ac:dyDescent="0.2">
      <c r="A48" s="10" t="s">
        <v>81</v>
      </c>
      <c r="B48" s="10" t="str">
        <f>LOWER(Table5[[#This Row],[Question Code]])</f>
        <v>tpp</v>
      </c>
      <c r="C48" s="10" t="s">
        <v>296</v>
      </c>
      <c r="D48" s="10" t="s">
        <v>83</v>
      </c>
      <c r="E48" s="11" t="s">
        <v>298</v>
      </c>
      <c r="F48" s="12" t="s">
        <v>132</v>
      </c>
      <c r="G48" s="10" t="s">
        <v>244</v>
      </c>
    </row>
    <row r="49" spans="1:7" ht="34" x14ac:dyDescent="0.2">
      <c r="A49" s="10" t="s">
        <v>33</v>
      </c>
      <c r="B49" s="10" t="str">
        <f>LOWER(Table5[[#This Row],[Question Code]])</f>
        <v>uneprof</v>
      </c>
      <c r="C49" s="10" t="s">
        <v>34</v>
      </c>
      <c r="D49" s="10" t="s">
        <v>59</v>
      </c>
      <c r="E49" s="11" t="s">
        <v>35</v>
      </c>
      <c r="F49" s="12" t="s">
        <v>134</v>
      </c>
      <c r="G49" s="10" t="s">
        <v>244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858DB7-590C-1744-951A-C46AAD582CA2}">
          <x14:formula1>
            <xm:f>Lists!$B$4:$B$25</xm:f>
          </x14:formula1>
          <xm:sqref>D2:D49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BAC9-A0E4-6C4F-B264-AF05DFF25151}">
  <sheetPr>
    <tabColor theme="9"/>
  </sheetPr>
  <dimension ref="A1:I41"/>
  <sheetViews>
    <sheetView topLeftCell="A19" zoomScale="110" workbookViewId="0">
      <selection activeCell="C36" sqref="C36"/>
    </sheetView>
  </sheetViews>
  <sheetFormatPr baseColWidth="10" defaultRowHeight="16" x14ac:dyDescent="0.2"/>
  <cols>
    <col min="3" max="4" width="43.5" bestFit="1" customWidth="1"/>
    <col min="5" max="5" width="37.33203125" bestFit="1" customWidth="1"/>
    <col min="6" max="6" width="27.5" bestFit="1" customWidth="1"/>
    <col min="8" max="8" width="12" customWidth="1"/>
  </cols>
  <sheetData>
    <row r="1" spans="1:9" ht="17" thickBot="1" x14ac:dyDescent="0.25">
      <c r="A1" s="7" t="s">
        <v>0</v>
      </c>
      <c r="B1" s="9" t="s">
        <v>467</v>
      </c>
      <c r="C1" s="3" t="s">
        <v>6</v>
      </c>
      <c r="D1" s="3" t="s">
        <v>122</v>
      </c>
      <c r="E1" s="3" t="s">
        <v>3</v>
      </c>
      <c r="F1" s="4" t="s">
        <v>131</v>
      </c>
      <c r="G1" s="8" t="s">
        <v>188</v>
      </c>
    </row>
    <row r="2" spans="1:9" ht="18" thickTop="1" x14ac:dyDescent="0.2">
      <c r="A2" s="25" t="s">
        <v>123</v>
      </c>
      <c r="B2" s="19" t="str">
        <f>LOWER(Table6[[#This Row],[Question Code]])</f>
        <v>acteu</v>
      </c>
      <c r="C2" s="19" t="s">
        <v>189</v>
      </c>
      <c r="D2" s="19" t="s">
        <v>125</v>
      </c>
      <c r="E2" s="20" t="s">
        <v>190</v>
      </c>
      <c r="F2" s="26" t="s">
        <v>299</v>
      </c>
      <c r="G2" s="19" t="s">
        <v>244</v>
      </c>
      <c r="I2" s="5" t="s">
        <v>500</v>
      </c>
    </row>
    <row r="3" spans="1:9" ht="17" x14ac:dyDescent="0.2">
      <c r="A3" s="10" t="s">
        <v>300</v>
      </c>
      <c r="B3" s="10" t="str">
        <f>LOWER(Table6[[#This Row],[Question Code]])</f>
        <v>am1nb</v>
      </c>
      <c r="C3" s="10" t="s">
        <v>301</v>
      </c>
      <c r="D3" s="10" t="s">
        <v>46</v>
      </c>
      <c r="E3" s="11" t="s">
        <v>302</v>
      </c>
      <c r="F3" s="12" t="s">
        <v>299</v>
      </c>
      <c r="G3" s="10" t="s">
        <v>244</v>
      </c>
    </row>
    <row r="4" spans="1:9" x14ac:dyDescent="0.2">
      <c r="A4" s="10" t="s">
        <v>68</v>
      </c>
      <c r="B4" s="10" t="str">
        <f>LOWER(Table6[[#This Row],[Question Code]])</f>
        <v>am2nb</v>
      </c>
      <c r="C4" s="10" t="s">
        <v>303</v>
      </c>
      <c r="D4" s="10" t="s">
        <v>59</v>
      </c>
      <c r="E4" s="11"/>
      <c r="F4" s="12" t="s">
        <v>299</v>
      </c>
      <c r="G4" s="10" t="s">
        <v>244</v>
      </c>
    </row>
    <row r="5" spans="1:9" x14ac:dyDescent="0.2">
      <c r="A5" s="10" t="s">
        <v>304</v>
      </c>
      <c r="B5" s="10" t="str">
        <f>LOWER(Table6[[#This Row],[Question Code]])</f>
        <v>ap0b</v>
      </c>
      <c r="C5" s="10" t="s">
        <v>305</v>
      </c>
      <c r="D5" s="10" t="s">
        <v>78</v>
      </c>
      <c r="E5" s="11"/>
      <c r="F5" s="12" t="s">
        <v>299</v>
      </c>
      <c r="G5" s="10" t="s">
        <v>244</v>
      </c>
    </row>
    <row r="6" spans="1:9" ht="17" x14ac:dyDescent="0.2">
      <c r="A6" s="10" t="s">
        <v>67</v>
      </c>
      <c r="B6" s="10" t="str">
        <f>LOWER(Table6[[#This Row],[Question Code]])</f>
        <v>autsal</v>
      </c>
      <c r="C6" s="10" t="s">
        <v>306</v>
      </c>
      <c r="D6" s="10" t="s">
        <v>59</v>
      </c>
      <c r="E6" s="11" t="s">
        <v>307</v>
      </c>
      <c r="F6" s="12" t="s">
        <v>299</v>
      </c>
      <c r="G6" s="10" t="s">
        <v>244</v>
      </c>
    </row>
    <row r="7" spans="1:9" ht="17" x14ac:dyDescent="0.2">
      <c r="A7" s="10" t="s">
        <v>129</v>
      </c>
      <c r="B7" s="10" t="str">
        <f>LOWER(Table6[[#This Row],[Question Code]])</f>
        <v>chpub</v>
      </c>
      <c r="C7" s="10" t="s">
        <v>308</v>
      </c>
      <c r="D7" s="10" t="s">
        <v>38</v>
      </c>
      <c r="E7" s="11" t="s">
        <v>309</v>
      </c>
      <c r="F7" s="12" t="s">
        <v>299</v>
      </c>
      <c r="G7" s="10" t="s">
        <v>244</v>
      </c>
    </row>
    <row r="8" spans="1:9" ht="17" x14ac:dyDescent="0.2">
      <c r="A8" s="10" t="s">
        <v>64</v>
      </c>
      <c r="B8" s="10" t="str">
        <f>LOWER(Table6[[#This Row],[Question Code]])</f>
        <v>chpubx</v>
      </c>
      <c r="C8" s="10" t="s">
        <v>498</v>
      </c>
      <c r="D8" s="10" t="s">
        <v>38</v>
      </c>
      <c r="E8" s="11" t="s">
        <v>310</v>
      </c>
      <c r="F8" s="12" t="s">
        <v>299</v>
      </c>
      <c r="G8" s="10" t="s">
        <v>244</v>
      </c>
    </row>
    <row r="9" spans="1:9" ht="17" x14ac:dyDescent="0.2">
      <c r="A9" s="10" t="s">
        <v>331</v>
      </c>
      <c r="B9" s="10" t="str">
        <f>LOWER(Table6[[#This Row],[Question Code]])</f>
        <v>chpubsx</v>
      </c>
      <c r="C9" s="10" t="s">
        <v>330</v>
      </c>
      <c r="D9" s="10" t="s">
        <v>61</v>
      </c>
      <c r="E9" s="11" t="s">
        <v>334</v>
      </c>
      <c r="F9" s="12" t="s">
        <v>299</v>
      </c>
      <c r="G9" s="10" t="s">
        <v>244</v>
      </c>
    </row>
    <row r="10" spans="1:9" x14ac:dyDescent="0.2">
      <c r="A10" s="10" t="s">
        <v>499</v>
      </c>
      <c r="B10" s="10" t="str">
        <f>LOWER(Table6[[#This Row],[Question Code]])</f>
        <v>cite97</v>
      </c>
      <c r="C10" s="10" t="s">
        <v>311</v>
      </c>
      <c r="D10" s="27" t="s">
        <v>112</v>
      </c>
      <c r="E10" s="11"/>
      <c r="F10" s="12" t="s">
        <v>299</v>
      </c>
      <c r="G10" s="10" t="s">
        <v>244</v>
      </c>
    </row>
    <row r="11" spans="1:9" x14ac:dyDescent="0.2">
      <c r="A11" s="10" t="s">
        <v>312</v>
      </c>
      <c r="B11" s="10" t="str">
        <f>LOWER(Table6[[#This Row],[Question Code]])</f>
        <v>cohab</v>
      </c>
      <c r="C11" s="10" t="s">
        <v>313</v>
      </c>
      <c r="D11" s="10" t="s">
        <v>115</v>
      </c>
      <c r="E11" s="11"/>
      <c r="F11" s="12" t="s">
        <v>299</v>
      </c>
      <c r="G11" s="10" t="s">
        <v>244</v>
      </c>
    </row>
    <row r="12" spans="1:9" ht="17" x14ac:dyDescent="0.2">
      <c r="A12" s="10" t="s">
        <v>70</v>
      </c>
      <c r="B12" s="10" t="str">
        <f>LOWER(Table6[[#This Row],[Question Code]])</f>
        <v>contra</v>
      </c>
      <c r="C12" s="10" t="s">
        <v>314</v>
      </c>
      <c r="D12" s="27" t="s">
        <v>125</v>
      </c>
      <c r="E12" s="11" t="s">
        <v>315</v>
      </c>
      <c r="F12" s="12" t="s">
        <v>299</v>
      </c>
      <c r="G12" s="10" t="s">
        <v>244</v>
      </c>
    </row>
    <row r="13" spans="1:9" ht="17" x14ac:dyDescent="0.2">
      <c r="A13" s="10" t="s">
        <v>16</v>
      </c>
      <c r="B13" s="10" t="str">
        <f>LOWER(Table6[[#This Row],[Question Code]])</f>
        <v>creacc</v>
      </c>
      <c r="C13" s="10" t="s">
        <v>316</v>
      </c>
      <c r="D13" s="10" t="s">
        <v>18</v>
      </c>
      <c r="E13" s="11" t="s">
        <v>317</v>
      </c>
      <c r="F13" s="12" t="s">
        <v>299</v>
      </c>
      <c r="G13" s="10" t="s">
        <v>244</v>
      </c>
    </row>
    <row r="14" spans="1:9" ht="17" x14ac:dyDescent="0.2">
      <c r="A14" s="10" t="s">
        <v>318</v>
      </c>
      <c r="B14" s="10" t="str">
        <f>LOWER(Table6[[#This Row],[Question Code]])</f>
        <v>creant</v>
      </c>
      <c r="C14" s="10" t="s">
        <v>319</v>
      </c>
      <c r="D14" s="10" t="s">
        <v>43</v>
      </c>
      <c r="E14" s="11" t="s">
        <v>317</v>
      </c>
      <c r="F14" s="12" t="s">
        <v>299</v>
      </c>
      <c r="G14" s="10" t="s">
        <v>244</v>
      </c>
    </row>
    <row r="15" spans="1:9" x14ac:dyDescent="0.2">
      <c r="A15" s="10" t="s">
        <v>320</v>
      </c>
      <c r="B15" s="10" t="str">
        <f>LOWER(Table6[[#This Row],[Question Code]])</f>
        <v>csrech</v>
      </c>
      <c r="C15" s="10" t="s">
        <v>321</v>
      </c>
      <c r="D15" s="10" t="s">
        <v>23</v>
      </c>
      <c r="E15" s="11"/>
      <c r="F15" s="12" t="s">
        <v>299</v>
      </c>
      <c r="G15" s="10" t="s">
        <v>244</v>
      </c>
    </row>
    <row r="16" spans="1:9" x14ac:dyDescent="0.2">
      <c r="A16" s="10" t="s">
        <v>332</v>
      </c>
      <c r="B16" s="10" t="str">
        <f>LOWER(Table6[[#This Row],[Question Code]])</f>
        <v>cssx</v>
      </c>
      <c r="C16" s="10" t="s">
        <v>333</v>
      </c>
      <c r="D16" s="27" t="s">
        <v>61</v>
      </c>
      <c r="E16" s="11"/>
      <c r="F16" s="12" t="s">
        <v>299</v>
      </c>
      <c r="G16" s="10" t="s">
        <v>244</v>
      </c>
    </row>
    <row r="17" spans="1:7" x14ac:dyDescent="0.2">
      <c r="A17" s="10" t="s">
        <v>322</v>
      </c>
      <c r="B17" s="10" t="str">
        <f>LOWER(Table6[[#This Row],[Question Code]])</f>
        <v>cstot</v>
      </c>
      <c r="C17" s="10" t="s">
        <v>323</v>
      </c>
      <c r="D17" s="10" t="s">
        <v>125</v>
      </c>
      <c r="E17" s="11"/>
      <c r="F17" s="12" t="s">
        <v>299</v>
      </c>
      <c r="G17" s="10" t="s">
        <v>244</v>
      </c>
    </row>
    <row r="18" spans="1:7" ht="17" x14ac:dyDescent="0.2">
      <c r="A18" s="10" t="s">
        <v>224</v>
      </c>
      <c r="B18" s="10" t="str">
        <f>LOWER(Table6[[#This Row],[Question Code]])</f>
        <v>ddipl</v>
      </c>
      <c r="C18" s="10" t="s">
        <v>141</v>
      </c>
      <c r="D18" s="27" t="s">
        <v>112</v>
      </c>
      <c r="E18" s="11" t="s">
        <v>324</v>
      </c>
      <c r="F18" s="12" t="s">
        <v>299</v>
      </c>
      <c r="G18" s="10" t="s">
        <v>244</v>
      </c>
    </row>
    <row r="19" spans="1:7" ht="17" x14ac:dyDescent="0.2">
      <c r="A19" s="10" t="s">
        <v>144</v>
      </c>
      <c r="B19" s="10" t="str">
        <f>LOWER(Table6[[#This Row],[Question Code]])</f>
        <v>duhab</v>
      </c>
      <c r="C19" s="10" t="s">
        <v>325</v>
      </c>
      <c r="D19" s="10" t="s">
        <v>98</v>
      </c>
      <c r="E19" s="11" t="s">
        <v>326</v>
      </c>
      <c r="F19" s="12" t="s">
        <v>299</v>
      </c>
      <c r="G19" s="10" t="s">
        <v>244</v>
      </c>
    </row>
    <row r="20" spans="1:7" ht="34" x14ac:dyDescent="0.2">
      <c r="A20" s="10" t="s">
        <v>235</v>
      </c>
      <c r="B20" s="10" t="str">
        <f>LOWER(Table6[[#This Row],[Question Code]])</f>
        <v>empnbh</v>
      </c>
      <c r="C20" s="10" t="s">
        <v>327</v>
      </c>
      <c r="D20" s="27" t="s">
        <v>87</v>
      </c>
      <c r="E20" s="11" t="s">
        <v>328</v>
      </c>
      <c r="F20" s="12" t="s">
        <v>299</v>
      </c>
      <c r="G20" s="10" t="s">
        <v>244</v>
      </c>
    </row>
    <row r="21" spans="1:7" ht="17" x14ac:dyDescent="0.2">
      <c r="A21" s="10" t="s">
        <v>329</v>
      </c>
      <c r="B21" s="10" t="str">
        <f>LOWER(Table6[[#This Row],[Question Code]])</f>
        <v>hhx</v>
      </c>
      <c r="C21" s="10" t="s">
        <v>336</v>
      </c>
      <c r="D21" s="10" t="s">
        <v>98</v>
      </c>
      <c r="E21" s="11" t="s">
        <v>335</v>
      </c>
      <c r="F21" s="12" t="s">
        <v>299</v>
      </c>
      <c r="G21" s="10" t="s">
        <v>244</v>
      </c>
    </row>
    <row r="22" spans="1:7" ht="17" x14ac:dyDescent="0.2">
      <c r="A22" s="10" t="s">
        <v>91</v>
      </c>
      <c r="B22" s="10" t="str">
        <f>LOWER(Table6[[#This Row],[Question Code]])</f>
        <v>hhc</v>
      </c>
      <c r="C22" s="10" t="s">
        <v>337</v>
      </c>
      <c r="D22" s="27" t="s">
        <v>87</v>
      </c>
      <c r="E22" s="11" t="s">
        <v>341</v>
      </c>
      <c r="F22" s="12" t="s">
        <v>299</v>
      </c>
      <c r="G22" s="10" t="s">
        <v>244</v>
      </c>
    </row>
    <row r="23" spans="1:7" ht="17" x14ac:dyDescent="0.2">
      <c r="A23" s="10" t="s">
        <v>338</v>
      </c>
      <c r="B23" s="10" t="str">
        <f>LOWER(Table6[[#This Row],[Question Code]])</f>
        <v>hhsx</v>
      </c>
      <c r="C23" s="10" t="s">
        <v>339</v>
      </c>
      <c r="D23" s="10" t="s">
        <v>98</v>
      </c>
      <c r="E23" s="11" t="s">
        <v>340</v>
      </c>
      <c r="F23" s="12" t="s">
        <v>299</v>
      </c>
      <c r="G23" s="10" t="s">
        <v>244</v>
      </c>
    </row>
    <row r="24" spans="1:7" ht="17" x14ac:dyDescent="0.2">
      <c r="A24" s="10" t="s">
        <v>342</v>
      </c>
      <c r="B24" s="10" t="str">
        <f>LOWER(Table6[[#This Row],[Question Code]])</f>
        <v>hplus</v>
      </c>
      <c r="C24" s="10" t="s">
        <v>343</v>
      </c>
      <c r="D24" s="10" t="s">
        <v>103</v>
      </c>
      <c r="E24" s="11" t="s">
        <v>344</v>
      </c>
      <c r="F24" s="12" t="s">
        <v>299</v>
      </c>
      <c r="G24" s="10" t="s">
        <v>244</v>
      </c>
    </row>
    <row r="25" spans="1:7" ht="17" x14ac:dyDescent="0.2">
      <c r="A25" s="10" t="s">
        <v>345</v>
      </c>
      <c r="B25" s="10" t="str">
        <f>LOWER(Table6[[#This Row],[Question Code]])</f>
        <v>naf</v>
      </c>
      <c r="C25" s="10" t="s">
        <v>347</v>
      </c>
      <c r="D25" s="10" t="s">
        <v>38</v>
      </c>
      <c r="E25" s="11" t="s">
        <v>349</v>
      </c>
      <c r="F25" s="12" t="s">
        <v>299</v>
      </c>
      <c r="G25" s="10" t="s">
        <v>244</v>
      </c>
    </row>
    <row r="26" spans="1:7" ht="17" x14ac:dyDescent="0.2">
      <c r="A26" s="10" t="s">
        <v>346</v>
      </c>
      <c r="B26" s="10" t="str">
        <f>LOWER(Table6[[#This Row],[Question Code]])</f>
        <v>nafprox</v>
      </c>
      <c r="C26" s="10" t="s">
        <v>348</v>
      </c>
      <c r="D26" s="10" t="s">
        <v>61</v>
      </c>
      <c r="E26" s="11" t="s">
        <v>349</v>
      </c>
      <c r="F26" s="12" t="s">
        <v>299</v>
      </c>
      <c r="G26" s="10" t="s">
        <v>244</v>
      </c>
    </row>
    <row r="27" spans="1:7" ht="17" x14ac:dyDescent="0.2">
      <c r="A27" s="10" t="s">
        <v>350</v>
      </c>
      <c r="B27" s="10" t="str">
        <f>LOWER(Table6[[#This Row],[Question Code]])</f>
        <v>nbtemp</v>
      </c>
      <c r="C27" s="10" t="s">
        <v>301</v>
      </c>
      <c r="D27" s="10" t="s">
        <v>46</v>
      </c>
      <c r="E27" s="11" t="s">
        <v>351</v>
      </c>
      <c r="F27" s="12" t="s">
        <v>299</v>
      </c>
      <c r="G27" s="10" t="s">
        <v>244</v>
      </c>
    </row>
    <row r="28" spans="1:7" ht="17" x14ac:dyDescent="0.2">
      <c r="A28" s="10" t="s">
        <v>24</v>
      </c>
      <c r="B28" s="10" t="str">
        <f>LOWER(Table6[[#This Row],[Question Code]])</f>
        <v>nrec</v>
      </c>
      <c r="C28" s="10" t="s">
        <v>352</v>
      </c>
      <c r="D28" s="27" t="s">
        <v>23</v>
      </c>
      <c r="E28" s="11" t="s">
        <v>353</v>
      </c>
      <c r="F28" s="12" t="s">
        <v>299</v>
      </c>
      <c r="G28" s="10" t="s">
        <v>244</v>
      </c>
    </row>
    <row r="29" spans="1:7" x14ac:dyDescent="0.2">
      <c r="A29" s="10" t="s">
        <v>354</v>
      </c>
      <c r="B29" s="10" t="str">
        <f>LOWER(Table6[[#This Row],[Question Code]])</f>
        <v>quelsx/quelx</v>
      </c>
      <c r="C29" s="10" t="s">
        <v>355</v>
      </c>
      <c r="D29" s="10" t="s">
        <v>61</v>
      </c>
      <c r="E29" s="11"/>
      <c r="F29" s="12" t="s">
        <v>299</v>
      </c>
      <c r="G29" s="10" t="s">
        <v>244</v>
      </c>
    </row>
    <row r="30" spans="1:7" x14ac:dyDescent="0.2">
      <c r="A30" s="10" t="s">
        <v>89</v>
      </c>
      <c r="B30" s="10" t="str">
        <f>LOWER(Table6[[#This Row],[Question Code]])</f>
        <v>raistp</v>
      </c>
      <c r="C30" s="10" t="s">
        <v>356</v>
      </c>
      <c r="D30" s="27" t="s">
        <v>103</v>
      </c>
      <c r="E30" s="11"/>
      <c r="F30" s="12" t="s">
        <v>299</v>
      </c>
      <c r="G30" s="10" t="s">
        <v>244</v>
      </c>
    </row>
    <row r="31" spans="1:7" ht="17" x14ac:dyDescent="0.2">
      <c r="A31" s="10" t="s">
        <v>357</v>
      </c>
      <c r="B31" s="10" t="str">
        <f>LOWER(Table6[[#This Row],[Question Code]])</f>
        <v>rec</v>
      </c>
      <c r="C31" s="10" t="s">
        <v>358</v>
      </c>
      <c r="D31" s="10" t="s">
        <v>23</v>
      </c>
      <c r="E31" s="11" t="s">
        <v>359</v>
      </c>
      <c r="F31" s="12" t="s">
        <v>299</v>
      </c>
      <c r="G31" s="10" t="s">
        <v>244</v>
      </c>
    </row>
    <row r="32" spans="1:7" x14ac:dyDescent="0.2">
      <c r="A32" s="10" t="s">
        <v>262</v>
      </c>
      <c r="B32" s="10" t="str">
        <f>LOWER(Table6[[#This Row],[Question Code]])</f>
        <v>salsee</v>
      </c>
      <c r="C32" s="10" t="s">
        <v>360</v>
      </c>
      <c r="D32" s="27" t="s">
        <v>61</v>
      </c>
      <c r="E32" s="11"/>
      <c r="F32" s="12" t="s">
        <v>299</v>
      </c>
      <c r="G32" s="10" t="s">
        <v>244</v>
      </c>
    </row>
    <row r="33" spans="1:7" x14ac:dyDescent="0.2">
      <c r="A33" s="10" t="s">
        <v>2</v>
      </c>
      <c r="B33" s="10" t="str">
        <f>LOWER(Table6[[#This Row],[Question Code]])</f>
        <v>sexe</v>
      </c>
      <c r="C33" s="10"/>
      <c r="D33" s="10" t="s">
        <v>30</v>
      </c>
      <c r="E33" s="11"/>
      <c r="F33" s="12" t="s">
        <v>299</v>
      </c>
      <c r="G33" s="10" t="s">
        <v>244</v>
      </c>
    </row>
    <row r="34" spans="1:7" ht="102" x14ac:dyDescent="0.2">
      <c r="A34" s="12" t="s">
        <v>362</v>
      </c>
      <c r="B34" s="12" t="str">
        <f>LOWER(Table6[[#This Row],[Question Code]])</f>
        <v>soua</v>
      </c>
      <c r="C34" s="12" t="s">
        <v>361</v>
      </c>
      <c r="D34" s="12" t="s">
        <v>13</v>
      </c>
      <c r="E34" s="13" t="s">
        <v>363</v>
      </c>
      <c r="F34" s="12" t="s">
        <v>299</v>
      </c>
      <c r="G34" s="10" t="s">
        <v>244</v>
      </c>
    </row>
    <row r="35" spans="1:7" ht="17" x14ac:dyDescent="0.2">
      <c r="A35" s="10" t="s">
        <v>177</v>
      </c>
      <c r="B35" s="10" t="str">
        <f>LOWER(Table6[[#This Row],[Question Code]])</f>
        <v>sousempl</v>
      </c>
      <c r="C35" s="10" t="s">
        <v>366</v>
      </c>
      <c r="D35" s="10" t="s">
        <v>103</v>
      </c>
      <c r="E35" s="11" t="s">
        <v>364</v>
      </c>
      <c r="F35" s="12" t="s">
        <v>365</v>
      </c>
      <c r="G35" s="10" t="s">
        <v>244</v>
      </c>
    </row>
    <row r="36" spans="1:7" x14ac:dyDescent="0.2">
      <c r="A36" s="10" t="s">
        <v>36</v>
      </c>
      <c r="B36" s="10" t="str">
        <f>LOWER(Table6[[#This Row],[Question Code]])</f>
        <v>stc</v>
      </c>
      <c r="C36" s="10" t="s">
        <v>367</v>
      </c>
      <c r="D36" s="10" t="s">
        <v>39</v>
      </c>
      <c r="E36" s="11"/>
      <c r="F36" s="12" t="s">
        <v>299</v>
      </c>
      <c r="G36" s="10" t="s">
        <v>244</v>
      </c>
    </row>
    <row r="37" spans="1:7" x14ac:dyDescent="0.2">
      <c r="A37" s="10" t="s">
        <v>368</v>
      </c>
      <c r="B37" s="10" t="str">
        <f>LOWER(Table6[[#This Row],[Question Code]])</f>
        <v>statutsx</v>
      </c>
      <c r="C37" s="10" t="s">
        <v>369</v>
      </c>
      <c r="D37" s="10" t="s">
        <v>62</v>
      </c>
      <c r="E37" s="11"/>
      <c r="F37" s="12" t="s">
        <v>299</v>
      </c>
      <c r="G37" s="10" t="s">
        <v>244</v>
      </c>
    </row>
    <row r="38" spans="1:7" x14ac:dyDescent="0.2">
      <c r="A38" s="10" t="s">
        <v>21</v>
      </c>
      <c r="B38" s="10" t="str">
        <f>LOWER(Table6[[#This Row],[Question Code]])</f>
        <v>stche</v>
      </c>
      <c r="C38" s="10" t="s">
        <v>370</v>
      </c>
      <c r="D38" s="27" t="s">
        <v>23</v>
      </c>
      <c r="E38" s="11"/>
      <c r="F38" s="12" t="s">
        <v>299</v>
      </c>
      <c r="G38" s="10" t="s">
        <v>244</v>
      </c>
    </row>
    <row r="39" spans="1:7" x14ac:dyDescent="0.2">
      <c r="A39" s="10" t="s">
        <v>100</v>
      </c>
      <c r="B39" s="10" t="str">
        <f>LOWER(Table6[[#This Row],[Question Code]])</f>
        <v>stplc</v>
      </c>
      <c r="C39" s="10" t="s">
        <v>101</v>
      </c>
      <c r="D39" s="10" t="s">
        <v>18</v>
      </c>
      <c r="E39" s="11"/>
      <c r="F39" s="12" t="s">
        <v>299</v>
      </c>
      <c r="G39" s="10" t="s">
        <v>244</v>
      </c>
    </row>
    <row r="40" spans="1:7" ht="17" x14ac:dyDescent="0.2">
      <c r="A40" s="10" t="s">
        <v>294</v>
      </c>
      <c r="B40" s="10" t="str">
        <f>LOWER(Table6[[#This Row],[Question Code]])</f>
        <v>totnbh</v>
      </c>
      <c r="C40" s="10" t="s">
        <v>371</v>
      </c>
      <c r="D40" s="27" t="s">
        <v>98</v>
      </c>
      <c r="E40" s="11" t="s">
        <v>372</v>
      </c>
      <c r="F40" s="12" t="s">
        <v>299</v>
      </c>
      <c r="G40" s="10" t="s">
        <v>244</v>
      </c>
    </row>
    <row r="41" spans="1:7" x14ac:dyDescent="0.2">
      <c r="A41" s="10" t="s">
        <v>81</v>
      </c>
      <c r="B41" s="10" t="str">
        <f>LOWER(Table6[[#This Row],[Question Code]])</f>
        <v>tpp</v>
      </c>
      <c r="C41" s="10" t="s">
        <v>373</v>
      </c>
      <c r="D41" s="10" t="s">
        <v>83</v>
      </c>
      <c r="E41" s="11"/>
      <c r="F41" s="12" t="s">
        <v>299</v>
      </c>
      <c r="G41" s="10" t="s">
        <v>244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189B96-E3F2-B942-9555-A65E71307288}">
          <x14:formula1>
            <xm:f>Lists!$B$4:$B$25</xm:f>
          </x14:formula1>
          <xm:sqref>D2:D41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A4400-0459-5742-91A8-4156869518FD}">
  <sheetPr>
    <tabColor theme="4"/>
  </sheetPr>
  <dimension ref="A3:Y46"/>
  <sheetViews>
    <sheetView topLeftCell="A11" workbookViewId="0">
      <selection activeCell="B5" sqref="B5"/>
    </sheetView>
  </sheetViews>
  <sheetFormatPr baseColWidth="10" defaultRowHeight="16" x14ac:dyDescent="0.2"/>
  <cols>
    <col min="1" max="1" width="12" bestFit="1" customWidth="1"/>
    <col min="2" max="2" width="15" bestFit="1" customWidth="1"/>
    <col min="3" max="18" width="10.83203125" customWidth="1"/>
    <col min="25" max="25" width="13.6640625" bestFit="1" customWidth="1"/>
  </cols>
  <sheetData>
    <row r="3" spans="1:25" ht="19" x14ac:dyDescent="0.25">
      <c r="C3" s="40" t="s">
        <v>501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</row>
    <row r="4" spans="1:25" ht="19" x14ac:dyDescent="0.25">
      <c r="A4" s="30" t="s">
        <v>523</v>
      </c>
      <c r="B4" s="30" t="s">
        <v>502</v>
      </c>
      <c r="C4" s="33">
        <v>2005</v>
      </c>
      <c r="D4" s="33">
        <v>2006</v>
      </c>
      <c r="E4" s="33">
        <v>2007</v>
      </c>
      <c r="F4" s="33">
        <v>2008</v>
      </c>
      <c r="G4" s="33">
        <v>2009</v>
      </c>
      <c r="H4" s="33">
        <v>2010</v>
      </c>
      <c r="I4" s="33">
        <v>2011</v>
      </c>
      <c r="J4" s="33">
        <v>2012</v>
      </c>
      <c r="K4" s="33">
        <v>2013</v>
      </c>
      <c r="L4" s="33">
        <v>2014</v>
      </c>
      <c r="M4" s="33">
        <v>2015</v>
      </c>
      <c r="N4" s="33">
        <v>2016</v>
      </c>
      <c r="O4" s="33">
        <v>2017</v>
      </c>
      <c r="P4" s="33">
        <v>2018</v>
      </c>
      <c r="Q4" s="33">
        <v>2019</v>
      </c>
      <c r="R4" s="33">
        <v>2020</v>
      </c>
      <c r="S4" s="33">
        <v>2021</v>
      </c>
      <c r="T4" s="33">
        <v>2022</v>
      </c>
      <c r="U4" s="33">
        <v>2023</v>
      </c>
      <c r="V4" s="33">
        <v>2024</v>
      </c>
    </row>
    <row r="5" spans="1:25" x14ac:dyDescent="0.2">
      <c r="A5" t="s">
        <v>508</v>
      </c>
      <c r="B5" s="34" t="s">
        <v>300</v>
      </c>
      <c r="C5" s="28"/>
      <c r="D5" s="31"/>
      <c r="E5" s="28"/>
      <c r="F5" s="28"/>
      <c r="G5" s="28"/>
      <c r="H5" s="28"/>
      <c r="I5" s="28"/>
      <c r="J5" s="31"/>
      <c r="K5" s="28"/>
      <c r="L5" s="28"/>
      <c r="M5" s="28"/>
      <c r="N5" s="28"/>
      <c r="O5" s="28"/>
      <c r="P5" s="28"/>
      <c r="Q5" s="28"/>
      <c r="R5" s="31"/>
      <c r="S5" s="29"/>
      <c r="T5" s="29"/>
      <c r="U5" s="29"/>
      <c r="V5" s="29"/>
    </row>
    <row r="6" spans="1:25" x14ac:dyDescent="0.2">
      <c r="A6" t="s">
        <v>508</v>
      </c>
      <c r="B6" s="34" t="s">
        <v>28</v>
      </c>
      <c r="C6" s="29"/>
      <c r="D6" s="32"/>
      <c r="E6" s="29"/>
      <c r="F6" s="29"/>
      <c r="G6" s="29"/>
      <c r="H6" s="29"/>
      <c r="I6" s="29"/>
      <c r="J6" s="32"/>
      <c r="K6" s="28"/>
      <c r="L6" s="28"/>
      <c r="M6" s="28"/>
      <c r="N6" s="28"/>
      <c r="O6" s="28"/>
      <c r="P6" s="28"/>
      <c r="Q6" s="28"/>
      <c r="R6" s="31"/>
      <c r="S6" s="29"/>
      <c r="T6" s="29"/>
      <c r="U6" s="29"/>
      <c r="V6" s="29"/>
      <c r="Y6">
        <f>5750894*1764</f>
        <v>10144577016</v>
      </c>
    </row>
    <row r="7" spans="1:25" x14ac:dyDescent="0.2">
      <c r="A7" t="s">
        <v>508</v>
      </c>
      <c r="B7" s="34" t="s">
        <v>419</v>
      </c>
      <c r="C7" s="29"/>
      <c r="D7" s="32"/>
      <c r="E7" s="29"/>
      <c r="F7" s="29"/>
      <c r="G7" s="29"/>
      <c r="H7" s="29"/>
      <c r="I7" s="29"/>
      <c r="J7" s="32"/>
      <c r="K7" s="29"/>
      <c r="L7" s="29"/>
      <c r="M7" s="29"/>
      <c r="N7" s="29"/>
      <c r="O7" s="29"/>
      <c r="P7" s="29"/>
      <c r="Q7" s="29"/>
      <c r="R7" s="32"/>
      <c r="S7" s="28"/>
      <c r="T7" s="28"/>
      <c r="U7" s="28"/>
      <c r="V7" s="28"/>
      <c r="Y7">
        <f>5750894*128</f>
        <v>736114432</v>
      </c>
    </row>
    <row r="8" spans="1:25" x14ac:dyDescent="0.2">
      <c r="A8" t="s">
        <v>509</v>
      </c>
      <c r="B8" s="34" t="s">
        <v>368</v>
      </c>
      <c r="C8" s="28"/>
      <c r="D8" s="31"/>
      <c r="E8" s="28"/>
      <c r="F8" s="28"/>
      <c r="G8" s="28"/>
      <c r="H8" s="28"/>
      <c r="I8" s="28"/>
      <c r="J8" s="31"/>
      <c r="K8" s="28"/>
      <c r="L8" s="28"/>
      <c r="M8" s="28"/>
      <c r="N8" s="28"/>
      <c r="O8" s="28"/>
      <c r="P8" s="28"/>
      <c r="Q8" s="28"/>
      <c r="R8" s="31"/>
      <c r="S8" s="29"/>
      <c r="T8" s="29"/>
      <c r="U8" s="29"/>
      <c r="V8" s="29"/>
    </row>
    <row r="9" spans="1:25" x14ac:dyDescent="0.2">
      <c r="A9" t="s">
        <v>509</v>
      </c>
      <c r="B9" s="34" t="s">
        <v>281</v>
      </c>
      <c r="C9" s="28"/>
      <c r="D9" s="31"/>
      <c r="E9" s="28"/>
      <c r="F9" s="28"/>
      <c r="G9" s="28"/>
      <c r="H9" s="28"/>
      <c r="I9" s="28"/>
      <c r="J9" s="31"/>
      <c r="K9" s="28"/>
      <c r="L9" s="28"/>
      <c r="M9" s="28"/>
      <c r="N9" s="28"/>
      <c r="O9" s="28"/>
      <c r="P9" s="28"/>
      <c r="Q9" s="28"/>
      <c r="R9" s="31"/>
      <c r="S9" s="28"/>
      <c r="T9" s="28"/>
      <c r="U9" s="28"/>
      <c r="V9" s="28"/>
    </row>
    <row r="10" spans="1:25" x14ac:dyDescent="0.2">
      <c r="A10" t="s">
        <v>509</v>
      </c>
      <c r="B10" s="34" t="s">
        <v>129</v>
      </c>
      <c r="C10" s="28"/>
      <c r="D10" s="31"/>
      <c r="E10" s="28"/>
      <c r="F10" s="28"/>
      <c r="G10" s="28"/>
      <c r="H10" s="28"/>
      <c r="I10" s="28"/>
      <c r="J10" s="31"/>
      <c r="K10" s="28"/>
      <c r="L10" s="28"/>
      <c r="M10" s="28"/>
      <c r="N10" s="28"/>
      <c r="O10" s="28"/>
      <c r="P10" s="28"/>
      <c r="Q10" s="28"/>
      <c r="R10" s="31"/>
      <c r="S10" s="28"/>
      <c r="T10" s="28"/>
      <c r="U10" s="28"/>
      <c r="V10" s="28"/>
    </row>
    <row r="11" spans="1:25" x14ac:dyDescent="0.2">
      <c r="A11" t="s">
        <v>512</v>
      </c>
      <c r="B11" s="34" t="s">
        <v>235</v>
      </c>
      <c r="C11" s="28"/>
      <c r="D11" s="31"/>
      <c r="E11" s="28"/>
      <c r="F11" s="28"/>
      <c r="G11" s="28"/>
      <c r="H11" s="28"/>
      <c r="I11" s="28"/>
      <c r="J11" s="31"/>
      <c r="K11" s="28"/>
      <c r="L11" s="28"/>
      <c r="M11" s="28"/>
      <c r="N11" s="28"/>
      <c r="O11" s="28"/>
      <c r="P11" s="28"/>
      <c r="Q11" s="28"/>
      <c r="R11" s="31"/>
      <c r="S11" s="29"/>
      <c r="T11" s="29"/>
      <c r="U11" s="29"/>
      <c r="V11" s="29"/>
    </row>
    <row r="12" spans="1:25" x14ac:dyDescent="0.2">
      <c r="A12" t="s">
        <v>508</v>
      </c>
      <c r="B12" s="34" t="s">
        <v>33</v>
      </c>
      <c r="C12" s="29"/>
      <c r="D12" s="32"/>
      <c r="E12" s="29"/>
      <c r="F12" s="29"/>
      <c r="G12" s="29"/>
      <c r="H12" s="29"/>
      <c r="I12" s="29"/>
      <c r="J12" s="32"/>
      <c r="K12" s="28"/>
      <c r="L12" s="28"/>
      <c r="M12" s="28"/>
      <c r="N12" s="28"/>
      <c r="O12" s="28"/>
      <c r="P12" s="28"/>
      <c r="Q12" s="28"/>
      <c r="R12" s="31"/>
      <c r="S12" s="29"/>
      <c r="T12" s="29"/>
      <c r="U12" s="29"/>
      <c r="V12" s="29"/>
    </row>
    <row r="13" spans="1:25" x14ac:dyDescent="0.2">
      <c r="A13" t="s">
        <v>510</v>
      </c>
      <c r="B13" s="34" t="s">
        <v>19</v>
      </c>
      <c r="C13" s="29"/>
      <c r="D13" s="32"/>
      <c r="E13" s="29"/>
      <c r="F13" s="29"/>
      <c r="G13" s="29"/>
      <c r="H13" s="29"/>
      <c r="I13" s="29"/>
      <c r="J13" s="32"/>
      <c r="K13" s="28"/>
      <c r="L13" s="28"/>
      <c r="M13" s="28"/>
      <c r="N13" s="28"/>
      <c r="O13" s="28"/>
      <c r="P13" s="28"/>
      <c r="Q13" s="28"/>
      <c r="R13" s="31"/>
      <c r="S13" s="29"/>
      <c r="T13" s="29"/>
      <c r="U13" s="29"/>
      <c r="V13" s="29"/>
    </row>
    <row r="14" spans="1:25" x14ac:dyDescent="0.2">
      <c r="A14" t="s">
        <v>511</v>
      </c>
      <c r="B14" s="34" t="s">
        <v>11</v>
      </c>
      <c r="C14" s="28"/>
      <c r="D14" s="31"/>
      <c r="E14" s="28"/>
      <c r="F14" s="28"/>
      <c r="G14" s="28"/>
      <c r="H14" s="28"/>
      <c r="I14" s="28"/>
      <c r="J14" s="31"/>
      <c r="K14" s="28"/>
      <c r="L14" s="28"/>
      <c r="M14" s="28"/>
      <c r="N14" s="28"/>
      <c r="O14" s="28"/>
      <c r="P14" s="28"/>
      <c r="Q14" s="28"/>
      <c r="R14" s="31"/>
      <c r="S14" s="29"/>
      <c r="T14" s="29"/>
      <c r="U14" s="29"/>
      <c r="V14" s="29"/>
    </row>
    <row r="15" spans="1:25" x14ac:dyDescent="0.2">
      <c r="A15" t="s">
        <v>509</v>
      </c>
      <c r="B15" s="34" t="s">
        <v>503</v>
      </c>
      <c r="C15" s="29"/>
      <c r="D15" s="32"/>
      <c r="E15" s="29"/>
      <c r="F15" s="29"/>
      <c r="G15" s="29"/>
      <c r="H15" s="29"/>
      <c r="I15" s="29"/>
      <c r="J15" s="32"/>
      <c r="K15" s="28"/>
      <c r="L15" s="28"/>
      <c r="M15" s="28"/>
      <c r="N15" s="28"/>
      <c r="O15" s="28"/>
      <c r="P15" s="28"/>
      <c r="Q15" s="28"/>
      <c r="R15" s="31"/>
      <c r="S15" s="29"/>
      <c r="T15" s="29"/>
      <c r="U15" s="29"/>
      <c r="V15" s="29"/>
    </row>
    <row r="16" spans="1:25" x14ac:dyDescent="0.2">
      <c r="A16" t="s">
        <v>512</v>
      </c>
      <c r="B16" s="34" t="s">
        <v>91</v>
      </c>
      <c r="C16" s="28"/>
      <c r="D16" s="31"/>
      <c r="E16" s="28"/>
      <c r="F16" s="28"/>
      <c r="G16" s="28"/>
      <c r="H16" s="28"/>
      <c r="I16" s="28"/>
      <c r="J16" s="31"/>
      <c r="K16" s="28"/>
      <c r="L16" s="28"/>
      <c r="M16" s="28"/>
      <c r="N16" s="28"/>
      <c r="O16" s="28"/>
      <c r="P16" s="28"/>
      <c r="Q16" s="28"/>
      <c r="R16" s="31"/>
      <c r="S16" s="29"/>
      <c r="T16" s="29"/>
      <c r="U16" s="29"/>
      <c r="V16" s="29"/>
    </row>
    <row r="17" spans="1:22" x14ac:dyDescent="0.2">
      <c r="A17" t="s">
        <v>508</v>
      </c>
      <c r="B17" s="34" t="s">
        <v>68</v>
      </c>
      <c r="C17" s="28"/>
      <c r="D17" s="31"/>
      <c r="E17" s="28"/>
      <c r="F17" s="28"/>
      <c r="G17" s="28"/>
      <c r="H17" s="28"/>
      <c r="I17" s="28"/>
      <c r="J17" s="31"/>
      <c r="K17" s="28"/>
      <c r="L17" s="28"/>
      <c r="M17" s="28"/>
      <c r="N17" s="28"/>
      <c r="O17" s="28"/>
      <c r="P17" s="28"/>
      <c r="Q17" s="28"/>
      <c r="R17" s="31"/>
      <c r="S17" s="29"/>
      <c r="T17" s="29"/>
      <c r="U17" s="29"/>
      <c r="V17" s="29"/>
    </row>
    <row r="18" spans="1:22" x14ac:dyDescent="0.2">
      <c r="A18" t="s">
        <v>513</v>
      </c>
      <c r="B18" s="34" t="s">
        <v>126</v>
      </c>
      <c r="C18" s="28"/>
      <c r="D18" s="31"/>
      <c r="E18" s="28"/>
      <c r="F18" s="28"/>
      <c r="G18" s="28"/>
      <c r="H18" s="28"/>
      <c r="I18" s="28"/>
      <c r="J18" s="31"/>
      <c r="K18" s="28"/>
      <c r="L18" s="28"/>
      <c r="M18" s="28"/>
      <c r="N18" s="28"/>
      <c r="O18" s="28"/>
      <c r="P18" s="28"/>
      <c r="Q18" s="28"/>
      <c r="R18" s="31"/>
      <c r="S18" s="28"/>
      <c r="T18" s="28"/>
      <c r="U18" s="28"/>
      <c r="V18" s="28"/>
    </row>
    <row r="19" spans="1:22" x14ac:dyDescent="0.2">
      <c r="A19" t="s">
        <v>514</v>
      </c>
      <c r="B19" s="34" t="s">
        <v>2</v>
      </c>
      <c r="C19" s="28"/>
      <c r="D19" s="31"/>
      <c r="E19" s="28"/>
      <c r="F19" s="28"/>
      <c r="G19" s="28"/>
      <c r="H19" s="28"/>
      <c r="I19" s="28"/>
      <c r="J19" s="31"/>
      <c r="K19" s="28"/>
      <c r="L19" s="28"/>
      <c r="M19" s="28"/>
      <c r="N19" s="28"/>
      <c r="O19" s="28"/>
      <c r="P19" s="28"/>
      <c r="Q19" s="28"/>
      <c r="R19" s="31"/>
      <c r="S19" s="28"/>
      <c r="T19" s="28"/>
      <c r="U19" s="28"/>
      <c r="V19" s="28"/>
    </row>
    <row r="20" spans="1:22" x14ac:dyDescent="0.2">
      <c r="A20" t="s">
        <v>515</v>
      </c>
      <c r="B20" s="34" t="s">
        <v>224</v>
      </c>
      <c r="C20" s="28"/>
      <c r="D20" s="31"/>
      <c r="E20" s="28"/>
      <c r="F20" s="28"/>
      <c r="G20" s="28"/>
      <c r="H20" s="28"/>
      <c r="I20" s="28"/>
      <c r="J20" s="31"/>
      <c r="K20" s="28"/>
      <c r="L20" s="28"/>
      <c r="M20" s="28"/>
      <c r="N20" s="28"/>
      <c r="O20" s="28"/>
      <c r="P20" s="28"/>
      <c r="Q20" s="28"/>
      <c r="R20" s="31"/>
      <c r="S20" s="29"/>
      <c r="T20" s="29"/>
      <c r="U20" s="29"/>
      <c r="V20" s="29"/>
    </row>
    <row r="21" spans="1:22" x14ac:dyDescent="0.2">
      <c r="A21" t="s">
        <v>509</v>
      </c>
      <c r="B21" s="34" t="s">
        <v>504</v>
      </c>
      <c r="C21" s="29"/>
      <c r="D21" s="32"/>
      <c r="E21" s="29"/>
      <c r="F21" s="29"/>
      <c r="G21" s="29"/>
      <c r="H21" s="28"/>
      <c r="I21" s="28"/>
      <c r="J21" s="31"/>
      <c r="K21" s="28"/>
      <c r="L21" s="28"/>
      <c r="M21" s="28"/>
      <c r="N21" s="28"/>
      <c r="O21" s="28"/>
      <c r="P21" s="28"/>
      <c r="Q21" s="28"/>
      <c r="R21" s="31"/>
      <c r="S21" s="29"/>
      <c r="T21" s="29"/>
      <c r="U21" s="29"/>
      <c r="V21" s="29"/>
    </row>
    <row r="22" spans="1:22" x14ac:dyDescent="0.2">
      <c r="A22" t="s">
        <v>516</v>
      </c>
      <c r="B22" s="34" t="s">
        <v>89</v>
      </c>
      <c r="C22" s="28"/>
      <c r="D22" s="31"/>
      <c r="E22" s="28"/>
      <c r="F22" s="28"/>
      <c r="G22" s="28"/>
      <c r="H22" s="28"/>
      <c r="I22" s="28"/>
      <c r="J22" s="31"/>
      <c r="K22" s="28"/>
      <c r="L22" s="28"/>
      <c r="M22" s="28"/>
      <c r="N22" s="28"/>
      <c r="O22" s="28"/>
      <c r="P22" s="28"/>
      <c r="Q22" s="28"/>
      <c r="R22" s="31"/>
      <c r="S22" s="28"/>
      <c r="T22" s="28"/>
      <c r="U22" s="28"/>
      <c r="V22" s="28"/>
    </row>
    <row r="23" spans="1:22" x14ac:dyDescent="0.2">
      <c r="A23" t="s">
        <v>512</v>
      </c>
      <c r="B23" s="34" t="s">
        <v>96</v>
      </c>
      <c r="C23" s="29"/>
      <c r="D23" s="32"/>
      <c r="E23" s="29"/>
      <c r="F23" s="29"/>
      <c r="G23" s="29"/>
      <c r="H23" s="29"/>
      <c r="I23" s="29"/>
      <c r="J23" s="32"/>
      <c r="K23" s="28"/>
      <c r="L23" s="28"/>
      <c r="M23" s="28"/>
      <c r="N23" s="28"/>
      <c r="O23" s="28"/>
      <c r="P23" s="28"/>
      <c r="Q23" s="28"/>
      <c r="R23" s="31"/>
      <c r="S23" s="28"/>
      <c r="T23" s="28"/>
      <c r="U23" s="28"/>
      <c r="V23" s="28"/>
    </row>
    <row r="24" spans="1:22" x14ac:dyDescent="0.2">
      <c r="A24" t="s">
        <v>512</v>
      </c>
      <c r="B24" s="34" t="s">
        <v>505</v>
      </c>
      <c r="C24" s="28"/>
      <c r="D24" s="31"/>
      <c r="E24" s="28"/>
      <c r="F24" s="28"/>
      <c r="G24" s="28"/>
      <c r="H24" s="28"/>
      <c r="I24" s="28"/>
      <c r="J24" s="31"/>
      <c r="K24" s="29"/>
      <c r="L24" s="29"/>
      <c r="M24" s="29"/>
      <c r="N24" s="29"/>
      <c r="O24" s="29"/>
      <c r="P24" s="29"/>
      <c r="Q24" s="29"/>
      <c r="R24" s="32"/>
      <c r="S24" s="29"/>
      <c r="T24" s="29"/>
      <c r="U24" s="29"/>
      <c r="V24" s="29"/>
    </row>
    <row r="25" spans="1:22" x14ac:dyDescent="0.2">
      <c r="A25" t="s">
        <v>512</v>
      </c>
      <c r="B25" s="34" t="s">
        <v>294</v>
      </c>
      <c r="C25" s="29"/>
      <c r="D25" s="32"/>
      <c r="E25" s="28"/>
      <c r="F25" s="28"/>
      <c r="G25" s="28"/>
      <c r="H25" s="28"/>
      <c r="I25" s="28"/>
      <c r="J25" s="31"/>
      <c r="K25" s="28"/>
      <c r="L25" s="28"/>
      <c r="M25" s="28"/>
      <c r="N25" s="28"/>
      <c r="O25" s="28"/>
      <c r="P25" s="28"/>
      <c r="Q25" s="28"/>
      <c r="R25" s="31"/>
      <c r="S25" s="29"/>
      <c r="T25" s="29"/>
      <c r="U25" s="29"/>
      <c r="V25" s="29"/>
    </row>
    <row r="26" spans="1:22" x14ac:dyDescent="0.2">
      <c r="A26" t="s">
        <v>512</v>
      </c>
      <c r="B26" s="34" t="s">
        <v>177</v>
      </c>
      <c r="C26" s="28"/>
      <c r="D26" s="31"/>
      <c r="E26" s="28"/>
      <c r="F26" s="28"/>
      <c r="G26" s="28"/>
      <c r="H26" s="28"/>
      <c r="I26" s="28"/>
      <c r="J26" s="31"/>
      <c r="K26" s="28"/>
      <c r="L26" s="28"/>
      <c r="M26" s="28"/>
      <c r="N26" s="28"/>
      <c r="O26" s="28"/>
      <c r="P26" s="28"/>
      <c r="Q26" s="28"/>
      <c r="R26" s="31"/>
      <c r="S26" s="28"/>
      <c r="T26" s="28"/>
      <c r="U26" s="28"/>
      <c r="V26" s="28"/>
    </row>
    <row r="27" spans="1:22" x14ac:dyDescent="0.2">
      <c r="A27" t="s">
        <v>517</v>
      </c>
      <c r="B27" s="34" t="s">
        <v>247</v>
      </c>
      <c r="C27" s="28"/>
      <c r="D27" s="31"/>
      <c r="E27" s="28"/>
      <c r="F27" s="28"/>
      <c r="G27" s="28"/>
      <c r="H27" s="28"/>
      <c r="I27" s="28"/>
      <c r="J27" s="31"/>
      <c r="K27" s="28"/>
      <c r="L27" s="28"/>
      <c r="M27" s="28"/>
      <c r="N27" s="28"/>
      <c r="O27" s="28"/>
      <c r="P27" s="28"/>
      <c r="Q27" s="28"/>
      <c r="R27" s="31"/>
      <c r="S27" s="28"/>
      <c r="T27" s="28"/>
      <c r="U27" s="28"/>
      <c r="V27" s="28"/>
    </row>
    <row r="28" spans="1:22" x14ac:dyDescent="0.2">
      <c r="A28" t="s">
        <v>511</v>
      </c>
      <c r="B28" s="34" t="s">
        <v>105</v>
      </c>
      <c r="C28" s="28"/>
      <c r="D28" s="31"/>
      <c r="E28" s="28"/>
      <c r="F28" s="28"/>
      <c r="G28" s="28"/>
      <c r="H28" s="28"/>
      <c r="I28" s="28"/>
      <c r="J28" s="31"/>
      <c r="K28" s="28"/>
      <c r="L28" s="28"/>
      <c r="M28" s="28"/>
      <c r="N28" s="28"/>
      <c r="O28" s="28"/>
      <c r="P28" s="28"/>
      <c r="Q28" s="28"/>
      <c r="R28" s="31"/>
      <c r="S28" s="29"/>
      <c r="T28" s="29"/>
      <c r="U28" s="29"/>
      <c r="V28" s="29"/>
    </row>
    <row r="29" spans="1:22" x14ac:dyDescent="0.2">
      <c r="A29" t="s">
        <v>518</v>
      </c>
      <c r="B29" s="34" t="s">
        <v>41</v>
      </c>
      <c r="C29" s="29"/>
      <c r="D29" s="32"/>
      <c r="E29" s="29"/>
      <c r="F29" s="29"/>
      <c r="G29" s="29"/>
      <c r="H29" s="29"/>
      <c r="I29" s="29"/>
      <c r="J29" s="32"/>
      <c r="K29" s="28"/>
      <c r="L29" s="28"/>
      <c r="M29" s="28"/>
      <c r="N29" s="28"/>
      <c r="O29" s="28"/>
      <c r="P29" s="28"/>
      <c r="Q29" s="28"/>
      <c r="R29" s="31"/>
      <c r="S29" s="29"/>
      <c r="T29" s="29"/>
      <c r="U29" s="29"/>
      <c r="V29" s="29"/>
    </row>
    <row r="30" spans="1:22" x14ac:dyDescent="0.2">
      <c r="A30" t="s">
        <v>519</v>
      </c>
      <c r="B30" s="34" t="s">
        <v>123</v>
      </c>
      <c r="C30" s="28"/>
      <c r="D30" s="31"/>
      <c r="E30" s="28"/>
      <c r="F30" s="28"/>
      <c r="G30" s="28"/>
      <c r="H30" s="28"/>
      <c r="I30" s="28"/>
      <c r="J30" s="31"/>
      <c r="K30" s="28"/>
      <c r="L30" s="28"/>
      <c r="M30" s="28"/>
      <c r="N30" s="28"/>
      <c r="O30" s="28"/>
      <c r="P30" s="28"/>
      <c r="Q30" s="28"/>
      <c r="R30" s="31"/>
      <c r="S30" s="28"/>
      <c r="T30" s="28"/>
      <c r="U30" s="28"/>
      <c r="V30" s="28"/>
    </row>
    <row r="31" spans="1:22" x14ac:dyDescent="0.2">
      <c r="A31" t="s">
        <v>509</v>
      </c>
      <c r="B31" s="34" t="s">
        <v>507</v>
      </c>
      <c r="C31" s="29"/>
      <c r="D31" s="32"/>
      <c r="E31" s="29"/>
      <c r="F31" s="29"/>
      <c r="G31" s="28"/>
      <c r="H31" s="28"/>
      <c r="I31" s="28"/>
      <c r="J31" s="31" t="s">
        <v>417</v>
      </c>
      <c r="K31" s="28" t="s">
        <v>417</v>
      </c>
      <c r="L31" s="28"/>
      <c r="M31" s="28"/>
      <c r="N31" s="28"/>
      <c r="O31" s="28"/>
      <c r="P31" s="28"/>
      <c r="Q31" s="28"/>
      <c r="R31" s="28"/>
      <c r="S31" s="35"/>
      <c r="T31" s="29"/>
      <c r="U31" s="29"/>
      <c r="V31" s="29"/>
    </row>
    <row r="32" spans="1:22" x14ac:dyDescent="0.2">
      <c r="A32" t="s">
        <v>509</v>
      </c>
      <c r="B32" s="34" t="s">
        <v>506</v>
      </c>
      <c r="C32" s="28"/>
      <c r="D32" s="31"/>
      <c r="E32" s="28"/>
      <c r="F32" s="28"/>
      <c r="G32" s="29"/>
      <c r="H32" s="29"/>
      <c r="I32" s="29"/>
      <c r="J32" s="32"/>
      <c r="K32" s="29"/>
      <c r="L32" s="29"/>
      <c r="M32" s="29"/>
      <c r="N32" s="29"/>
      <c r="O32" s="29"/>
      <c r="P32" s="29"/>
      <c r="Q32" s="29"/>
      <c r="R32" s="32"/>
      <c r="S32" s="29"/>
      <c r="T32" s="29"/>
      <c r="U32" s="29"/>
      <c r="V32" s="29"/>
    </row>
    <row r="33" spans="1:22" x14ac:dyDescent="0.2">
      <c r="A33" t="s">
        <v>508</v>
      </c>
      <c r="B33" s="34" t="s">
        <v>67</v>
      </c>
      <c r="C33" s="28"/>
      <c r="D33" s="31"/>
      <c r="E33" s="28"/>
      <c r="F33" s="28"/>
      <c r="G33" s="28"/>
      <c r="H33" s="28"/>
      <c r="I33" s="28"/>
      <c r="J33" s="31" t="s">
        <v>417</v>
      </c>
      <c r="K33" s="28" t="s">
        <v>417</v>
      </c>
      <c r="L33" s="28"/>
      <c r="M33" s="28"/>
      <c r="N33" s="28"/>
      <c r="O33" s="28"/>
      <c r="P33" s="28"/>
      <c r="Q33" s="28"/>
      <c r="R33" s="28"/>
      <c r="S33" s="35"/>
      <c r="T33" s="29"/>
      <c r="U33" s="29"/>
      <c r="V33" s="29"/>
    </row>
    <row r="34" spans="1:22" x14ac:dyDescent="0.2">
      <c r="A34" t="s">
        <v>510</v>
      </c>
      <c r="B34" s="34" t="s">
        <v>16</v>
      </c>
      <c r="C34" s="28"/>
      <c r="D34" s="31"/>
      <c r="E34" s="28"/>
      <c r="F34" s="28"/>
      <c r="G34" s="28"/>
      <c r="H34" s="28"/>
      <c r="I34" s="28"/>
      <c r="J34" s="31"/>
      <c r="K34" s="29"/>
      <c r="L34" s="29"/>
      <c r="M34" s="29"/>
      <c r="N34" s="29"/>
      <c r="O34" s="29"/>
      <c r="P34" s="29"/>
      <c r="Q34" s="29"/>
      <c r="R34" s="32"/>
      <c r="S34" s="29"/>
      <c r="T34" s="29"/>
      <c r="U34" s="29"/>
      <c r="V34" s="29"/>
    </row>
    <row r="35" spans="1:22" x14ac:dyDescent="0.2">
      <c r="A35" t="s">
        <v>509</v>
      </c>
      <c r="B35" s="34" t="s">
        <v>449</v>
      </c>
      <c r="C35" s="29"/>
      <c r="D35" s="32"/>
      <c r="E35" s="29"/>
      <c r="F35" s="29"/>
      <c r="G35" s="29"/>
      <c r="H35" s="29"/>
      <c r="I35" s="29"/>
      <c r="J35" s="32"/>
      <c r="K35" s="29"/>
      <c r="L35" s="29"/>
      <c r="M35" s="29"/>
      <c r="N35" s="29"/>
      <c r="O35" s="29"/>
      <c r="P35" s="29"/>
      <c r="Q35" s="29"/>
      <c r="R35" s="32"/>
      <c r="S35" s="28"/>
      <c r="T35" s="28"/>
      <c r="U35" s="28"/>
      <c r="V35" s="28"/>
    </row>
    <row r="36" spans="1:22" x14ac:dyDescent="0.2">
      <c r="A36" t="s">
        <v>509</v>
      </c>
      <c r="B36" s="34" t="s">
        <v>458</v>
      </c>
      <c r="C36" s="29"/>
      <c r="D36" s="32"/>
      <c r="E36" s="29"/>
      <c r="F36" s="29"/>
      <c r="G36" s="29"/>
      <c r="H36" s="29"/>
      <c r="I36" s="29"/>
      <c r="J36" s="32"/>
      <c r="K36" s="29"/>
      <c r="L36" s="29"/>
      <c r="M36" s="29"/>
      <c r="N36" s="29"/>
      <c r="O36" s="29"/>
      <c r="P36" s="29"/>
      <c r="Q36" s="29"/>
      <c r="R36" s="32"/>
      <c r="S36" s="28"/>
      <c r="T36" s="28"/>
      <c r="U36" s="28"/>
      <c r="V36" s="28"/>
    </row>
    <row r="37" spans="1:22" x14ac:dyDescent="0.2">
      <c r="A37" t="s">
        <v>512</v>
      </c>
      <c r="B37" s="34" t="s">
        <v>100</v>
      </c>
      <c r="C37" s="28"/>
      <c r="D37" s="31"/>
      <c r="E37" s="28"/>
      <c r="F37" s="28"/>
      <c r="G37" s="28"/>
      <c r="H37" s="28"/>
      <c r="I37" s="28"/>
      <c r="J37" s="31"/>
      <c r="K37" s="29"/>
      <c r="L37" s="29"/>
      <c r="M37" s="29"/>
      <c r="N37" s="29"/>
      <c r="O37" s="29"/>
      <c r="P37" s="29"/>
      <c r="Q37" s="29"/>
      <c r="R37" s="32"/>
      <c r="S37" s="29"/>
      <c r="T37" s="29"/>
      <c r="U37" s="29"/>
      <c r="V37" s="29"/>
    </row>
    <row r="38" spans="1:22" x14ac:dyDescent="0.2">
      <c r="A38" t="s">
        <v>516</v>
      </c>
      <c r="B38" s="34" t="s">
        <v>465</v>
      </c>
      <c r="C38" s="28"/>
      <c r="D38" s="31"/>
      <c r="E38" s="28"/>
      <c r="F38" s="28"/>
      <c r="G38" s="28"/>
      <c r="H38" s="28"/>
      <c r="I38" s="28"/>
      <c r="J38" s="31"/>
      <c r="K38" s="28" t="s">
        <v>417</v>
      </c>
      <c r="L38" s="28"/>
      <c r="M38" s="28"/>
      <c r="N38" s="28"/>
      <c r="O38" s="28"/>
      <c r="P38" s="28"/>
      <c r="Q38" s="28"/>
      <c r="R38" s="28"/>
      <c r="S38" s="36"/>
      <c r="T38" s="28"/>
      <c r="U38" s="28"/>
      <c r="V38" s="28"/>
    </row>
    <row r="39" spans="1:22" x14ac:dyDescent="0.2">
      <c r="A39" t="s">
        <v>512</v>
      </c>
      <c r="B39" s="34" t="s">
        <v>91</v>
      </c>
      <c r="C39" s="28"/>
      <c r="D39" s="31"/>
      <c r="E39" s="28"/>
      <c r="F39" s="28"/>
      <c r="G39" s="28"/>
      <c r="H39" s="28"/>
      <c r="I39" s="28"/>
      <c r="J39" s="31"/>
      <c r="K39" s="28"/>
      <c r="L39" s="28"/>
      <c r="M39" s="28"/>
      <c r="N39" s="28"/>
      <c r="O39" s="28"/>
      <c r="P39" s="28"/>
      <c r="Q39" s="28"/>
      <c r="R39" s="31"/>
      <c r="S39" s="29"/>
      <c r="T39" s="29"/>
      <c r="U39" s="29"/>
      <c r="V39" s="29"/>
    </row>
    <row r="40" spans="1:22" x14ac:dyDescent="0.2">
      <c r="A40" t="s">
        <v>509</v>
      </c>
      <c r="B40" s="34" t="s">
        <v>284</v>
      </c>
      <c r="C40" s="28"/>
      <c r="D40" s="31"/>
      <c r="E40" s="28"/>
      <c r="F40" s="28"/>
      <c r="G40" s="28"/>
      <c r="H40" s="28"/>
      <c r="I40" s="28"/>
      <c r="J40" s="31"/>
      <c r="K40" s="28"/>
      <c r="L40" s="28"/>
      <c r="M40" s="28"/>
      <c r="N40" s="28"/>
      <c r="O40" s="28"/>
      <c r="P40" s="28"/>
      <c r="Q40" s="28"/>
      <c r="R40" s="31"/>
      <c r="S40" s="29"/>
      <c r="T40" s="29"/>
      <c r="U40" s="29"/>
      <c r="V40" s="29"/>
    </row>
    <row r="41" spans="1:22" x14ac:dyDescent="0.2">
      <c r="A41" t="s">
        <v>511</v>
      </c>
      <c r="B41" s="34" t="s">
        <v>445</v>
      </c>
      <c r="C41" s="29"/>
      <c r="D41" s="32"/>
      <c r="E41" s="29"/>
      <c r="F41" s="29"/>
      <c r="G41" s="29"/>
      <c r="H41" s="29"/>
      <c r="I41" s="29"/>
      <c r="J41" s="32"/>
      <c r="K41" s="29"/>
      <c r="L41" s="29"/>
      <c r="M41" s="29"/>
      <c r="N41" s="29"/>
      <c r="O41" s="29"/>
      <c r="P41" s="29"/>
      <c r="Q41" s="29"/>
      <c r="R41" s="32"/>
      <c r="S41" s="28"/>
      <c r="T41" s="28"/>
      <c r="U41" s="28"/>
      <c r="V41" s="28"/>
    </row>
    <row r="42" spans="1:22" x14ac:dyDescent="0.2">
      <c r="A42" t="s">
        <v>518</v>
      </c>
      <c r="B42" s="34" t="s">
        <v>381</v>
      </c>
      <c r="C42" s="29"/>
      <c r="D42" s="32"/>
      <c r="E42" s="29"/>
      <c r="F42" s="29"/>
      <c r="G42" s="29"/>
      <c r="H42" s="29"/>
      <c r="I42" s="29"/>
      <c r="J42" s="32"/>
      <c r="K42" s="29"/>
      <c r="L42" s="29"/>
      <c r="M42" s="29"/>
      <c r="N42" s="29"/>
      <c r="O42" s="29"/>
      <c r="P42" s="29"/>
      <c r="Q42" s="29"/>
      <c r="R42" s="32"/>
      <c r="S42" s="28"/>
      <c r="T42" s="28"/>
      <c r="U42" s="28"/>
      <c r="V42" s="28"/>
    </row>
    <row r="43" spans="1:22" x14ac:dyDescent="0.2">
      <c r="A43" t="s">
        <v>510</v>
      </c>
      <c r="B43" s="34" t="s">
        <v>438</v>
      </c>
      <c r="C43" s="29"/>
      <c r="D43" s="32"/>
      <c r="E43" s="29"/>
      <c r="F43" s="29"/>
      <c r="G43" s="29"/>
      <c r="H43" s="29"/>
      <c r="I43" s="29"/>
      <c r="J43" s="32"/>
      <c r="K43" s="29"/>
      <c r="L43" s="29"/>
      <c r="M43" s="29"/>
      <c r="N43" s="29"/>
      <c r="O43" s="29"/>
      <c r="P43" s="29"/>
      <c r="Q43" s="29"/>
      <c r="R43" s="32"/>
      <c r="S43" s="28"/>
      <c r="T43" s="28"/>
      <c r="U43" s="28"/>
      <c r="V43" s="28"/>
    </row>
    <row r="44" spans="1:22" x14ac:dyDescent="0.2">
      <c r="A44" t="s">
        <v>524</v>
      </c>
      <c r="B44" s="34" t="s">
        <v>525</v>
      </c>
      <c r="C44" s="28"/>
      <c r="D44" s="31"/>
      <c r="E44" s="28"/>
      <c r="F44" s="28"/>
      <c r="G44" s="28"/>
      <c r="H44" s="28"/>
      <c r="I44" s="28"/>
      <c r="J44" s="31"/>
      <c r="K44" s="28" t="s">
        <v>417</v>
      </c>
      <c r="L44" s="28"/>
      <c r="M44" s="28"/>
      <c r="N44" s="28"/>
      <c r="O44" s="28"/>
      <c r="P44" s="28"/>
      <c r="Q44" s="28"/>
      <c r="R44" s="28"/>
      <c r="S44" s="36"/>
      <c r="T44" s="28"/>
      <c r="U44" s="28"/>
      <c r="V44" s="28"/>
    </row>
    <row r="45" spans="1:22" x14ac:dyDescent="0.2">
      <c r="A45" t="s">
        <v>524</v>
      </c>
      <c r="B45" s="34" t="s">
        <v>526</v>
      </c>
      <c r="C45" s="28"/>
      <c r="D45" s="31"/>
      <c r="E45" s="28"/>
      <c r="F45" s="28"/>
      <c r="G45" s="28"/>
      <c r="H45" s="28"/>
      <c r="I45" s="28"/>
      <c r="J45" s="31"/>
      <c r="K45" s="28" t="s">
        <v>417</v>
      </c>
      <c r="L45" s="28"/>
      <c r="M45" s="28"/>
      <c r="N45" s="28"/>
      <c r="O45" s="28"/>
      <c r="P45" s="28"/>
      <c r="Q45" s="28"/>
      <c r="R45" s="28"/>
      <c r="S45" s="36"/>
      <c r="T45" s="28"/>
      <c r="U45" s="28"/>
      <c r="V45" s="28"/>
    </row>
    <row r="46" spans="1:22" x14ac:dyDescent="0.2">
      <c r="A46" t="s">
        <v>524</v>
      </c>
      <c r="B46" s="34" t="s">
        <v>527</v>
      </c>
      <c r="C46" s="28"/>
      <c r="D46" s="31"/>
      <c r="E46" s="28"/>
      <c r="F46" s="28"/>
      <c r="G46" s="28"/>
      <c r="H46" s="28"/>
      <c r="I46" s="28"/>
      <c r="J46" s="31"/>
      <c r="K46" s="28" t="s">
        <v>417</v>
      </c>
      <c r="L46" s="28"/>
      <c r="M46" s="28"/>
      <c r="N46" s="28"/>
      <c r="O46" s="28"/>
      <c r="P46" s="28"/>
      <c r="Q46" s="28"/>
      <c r="R46" s="28"/>
      <c r="S46" s="36"/>
      <c r="T46" s="28"/>
      <c r="U46" s="28"/>
      <c r="V46" s="28"/>
    </row>
  </sheetData>
  <autoFilter ref="A4:V46" xr:uid="{A39A4400-0459-5742-91A8-4156869518FD}"/>
  <mergeCells count="1">
    <mergeCell ref="C3:V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E6080-124E-0945-A206-AAFE7FC1765F}">
  <dimension ref="E2:G18"/>
  <sheetViews>
    <sheetView workbookViewId="0">
      <selection activeCell="E7" sqref="E7"/>
    </sheetView>
  </sheetViews>
  <sheetFormatPr baseColWidth="10" defaultRowHeight="16" x14ac:dyDescent="0.2"/>
  <sheetData>
    <row r="2" spans="5:7" x14ac:dyDescent="0.2">
      <c r="F2">
        <f>4+1+1+4</f>
        <v>10</v>
      </c>
    </row>
    <row r="3" spans="5:7" x14ac:dyDescent="0.2">
      <c r="F3">
        <f>SQRT(10)</f>
        <v>3.1622776601683795</v>
      </c>
    </row>
    <row r="5" spans="5:7" x14ac:dyDescent="0.2">
      <c r="E5" s="39">
        <v>0.16666666666666666</v>
      </c>
      <c r="F5">
        <v>4</v>
      </c>
      <c r="G5">
        <f>E5*F5</f>
        <v>0.66666666666666663</v>
      </c>
    </row>
    <row r="6" spans="5:7" x14ac:dyDescent="0.2">
      <c r="E6" s="39">
        <v>0.16666666666666666</v>
      </c>
      <c r="F6">
        <v>0</v>
      </c>
      <c r="G6">
        <f t="shared" ref="G6:G10" si="0">E6*F6</f>
        <v>0</v>
      </c>
    </row>
    <row r="7" spans="5:7" x14ac:dyDescent="0.2">
      <c r="E7" s="39">
        <v>0.16666666666666666</v>
      </c>
      <c r="F7">
        <v>1</v>
      </c>
      <c r="G7">
        <f t="shared" si="0"/>
        <v>0.16666666666666666</v>
      </c>
    </row>
    <row r="8" spans="5:7" x14ac:dyDescent="0.2">
      <c r="E8" s="39">
        <v>0.16666666666666666</v>
      </c>
      <c r="F8">
        <v>1</v>
      </c>
      <c r="G8">
        <f t="shared" si="0"/>
        <v>0.16666666666666666</v>
      </c>
    </row>
    <row r="9" spans="5:7" x14ac:dyDescent="0.2">
      <c r="E9" s="39">
        <v>0.16666666666666666</v>
      </c>
      <c r="F9">
        <v>0</v>
      </c>
      <c r="G9">
        <f t="shared" si="0"/>
        <v>0</v>
      </c>
    </row>
    <row r="10" spans="5:7" x14ac:dyDescent="0.2">
      <c r="E10" s="39">
        <v>0.16666666666666666</v>
      </c>
      <c r="F10">
        <v>4</v>
      </c>
      <c r="G10">
        <f t="shared" si="0"/>
        <v>0.66666666666666663</v>
      </c>
    </row>
    <row r="11" spans="5:7" x14ac:dyDescent="0.2">
      <c r="E11" s="39"/>
    </row>
    <row r="12" spans="5:7" x14ac:dyDescent="0.2">
      <c r="E12" s="39"/>
      <c r="G12">
        <f>G5+G7+G8+G10</f>
        <v>1.6666666666666665</v>
      </c>
    </row>
    <row r="13" spans="5:7" x14ac:dyDescent="0.2">
      <c r="E13" s="39"/>
    </row>
    <row r="14" spans="5:7" x14ac:dyDescent="0.2">
      <c r="E14" s="39"/>
      <c r="G14">
        <f>SQRT(G12)</f>
        <v>1.2909944487358056</v>
      </c>
    </row>
    <row r="15" spans="5:7" x14ac:dyDescent="0.2">
      <c r="E15" s="39"/>
    </row>
    <row r="16" spans="5:7" x14ac:dyDescent="0.2">
      <c r="E16" s="39"/>
    </row>
    <row r="17" spans="5:5" x14ac:dyDescent="0.2">
      <c r="E17" s="39"/>
    </row>
    <row r="18" spans="5:5" x14ac:dyDescent="0.2">
      <c r="E18" s="3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D3138-02EA-5549-AC6A-9070A9559505}">
  <sheetPr>
    <tabColor rgb="FF0070C0"/>
  </sheetPr>
  <dimension ref="B3:B25"/>
  <sheetViews>
    <sheetView workbookViewId="0">
      <selection activeCell="B31" sqref="B31"/>
    </sheetView>
  </sheetViews>
  <sheetFormatPr baseColWidth="10" defaultRowHeight="16" x14ac:dyDescent="0.2"/>
  <cols>
    <col min="2" max="2" width="54" bestFit="1" customWidth="1"/>
    <col min="5" max="5" width="48.6640625" bestFit="1" customWidth="1"/>
  </cols>
  <sheetData>
    <row r="3" spans="2:2" x14ac:dyDescent="0.2">
      <c r="B3" s="5" t="s">
        <v>122</v>
      </c>
    </row>
    <row r="4" spans="2:2" x14ac:dyDescent="0.2">
      <c r="B4" t="s">
        <v>59</v>
      </c>
    </row>
    <row r="5" spans="2:2" x14ac:dyDescent="0.2">
      <c r="B5" t="s">
        <v>103</v>
      </c>
    </row>
    <row r="6" spans="2:2" x14ac:dyDescent="0.2">
      <c r="B6" t="s">
        <v>54</v>
      </c>
    </row>
    <row r="7" spans="2:2" x14ac:dyDescent="0.2">
      <c r="B7" t="s">
        <v>55</v>
      </c>
    </row>
    <row r="8" spans="2:2" x14ac:dyDescent="0.2">
      <c r="B8" t="s">
        <v>13</v>
      </c>
    </row>
    <row r="9" spans="2:2" x14ac:dyDescent="0.2">
      <c r="B9" t="s">
        <v>112</v>
      </c>
    </row>
    <row r="10" spans="2:2" x14ac:dyDescent="0.2">
      <c r="B10" t="s">
        <v>125</v>
      </c>
    </row>
    <row r="11" spans="2:2" x14ac:dyDescent="0.2">
      <c r="B11" t="s">
        <v>30</v>
      </c>
    </row>
    <row r="12" spans="2:2" x14ac:dyDescent="0.2">
      <c r="B12" t="s">
        <v>98</v>
      </c>
    </row>
    <row r="13" spans="2:2" x14ac:dyDescent="0.2">
      <c r="B13" t="s">
        <v>87</v>
      </c>
    </row>
    <row r="14" spans="2:2" x14ac:dyDescent="0.2">
      <c r="B14" t="s">
        <v>43</v>
      </c>
    </row>
    <row r="15" spans="2:2" x14ac:dyDescent="0.2">
      <c r="B15" t="s">
        <v>472</v>
      </c>
    </row>
    <row r="16" spans="2:2" x14ac:dyDescent="0.2">
      <c r="B16" t="s">
        <v>38</v>
      </c>
    </row>
    <row r="17" spans="2:2" x14ac:dyDescent="0.2">
      <c r="B17" t="s">
        <v>83</v>
      </c>
    </row>
    <row r="18" spans="2:2" x14ac:dyDescent="0.2">
      <c r="B18" t="s">
        <v>39</v>
      </c>
    </row>
    <row r="19" spans="2:2" x14ac:dyDescent="0.2">
      <c r="B19" t="s">
        <v>74</v>
      </c>
    </row>
    <row r="20" spans="2:2" x14ac:dyDescent="0.2">
      <c r="B20" t="s">
        <v>61</v>
      </c>
    </row>
    <row r="21" spans="2:2" x14ac:dyDescent="0.2">
      <c r="B21" t="s">
        <v>62</v>
      </c>
    </row>
    <row r="22" spans="2:2" x14ac:dyDescent="0.2">
      <c r="B22" t="s">
        <v>115</v>
      </c>
    </row>
    <row r="23" spans="2:2" x14ac:dyDescent="0.2">
      <c r="B23" t="s">
        <v>78</v>
      </c>
    </row>
    <row r="24" spans="2:2" x14ac:dyDescent="0.2">
      <c r="B24" t="s">
        <v>18</v>
      </c>
    </row>
    <row r="25" spans="2:2" x14ac:dyDescent="0.2">
      <c r="B25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check sheet</vt:lpstr>
      <vt:lpstr>Codebook 2021 - IND</vt:lpstr>
      <vt:lpstr>Codebook 2020 - IND</vt:lpstr>
      <vt:lpstr>Codebook 2020 - DET</vt:lpstr>
      <vt:lpstr>Codebook 2013 - IND</vt:lpstr>
      <vt:lpstr>Codebook 2007 - IND</vt:lpstr>
      <vt:lpstr>Cross-year</vt:lpstr>
      <vt:lpstr>Sheet1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Fernex</dc:creator>
  <cp:lastModifiedBy>Romain Fernex</cp:lastModifiedBy>
  <dcterms:created xsi:type="dcterms:W3CDTF">2025-07-30T07:15:41Z</dcterms:created>
  <dcterms:modified xsi:type="dcterms:W3CDTF">2025-12-26T08:00:33Z</dcterms:modified>
</cp:coreProperties>
</file>